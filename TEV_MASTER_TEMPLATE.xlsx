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Users\User-PC\Desktop\TEV 2026\Sta Maria Laguna Suitability July 21-24, 2026\"/>
    </mc:Choice>
  </mc:AlternateContent>
  <bookViews>
    <workbookView xWindow="0" yWindow="0" windowWidth="28800" windowHeight="12210" activeTab="3"/>
  </bookViews>
  <sheets>
    <sheet name="DV (3 copies)" sheetId="42" r:id="rId1"/>
    <sheet name="likod ng DV" sheetId="43" r:id="rId2"/>
    <sheet name="ORS (4copies)" sheetId="35" r:id="rId3"/>
    <sheet name="Itinerary (3 copies)" sheetId="44" r:id="rId4"/>
    <sheet name="Certificate not Require Receipt" sheetId="48" r:id="rId5"/>
    <sheet name="Fund Source" sheetId="49" r:id="rId6"/>
  </sheets>
  <definedNames>
    <definedName name="_xlnm.Print_Area" localSheetId="4">'Certificate not Require Receipt'!$A$1:$D$25</definedName>
    <definedName name="_xlnm.Print_Area" localSheetId="0">'DV (3 copies)'!$A$1:$AF$49</definedName>
    <definedName name="_xlnm.Print_Area" localSheetId="3">'Itinerary (3 copies)'!$A$1:$I$24</definedName>
    <definedName name="_xlnm.Print_Area" localSheetId="2">'ORS (4copies)'!$A$1:$M$49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44" l="1"/>
  <c r="F13" i="44"/>
  <c r="G13" i="44"/>
  <c r="D19" i="35" l="1"/>
  <c r="I9" i="44"/>
  <c r="I8" i="44"/>
  <c r="H13" i="44"/>
  <c r="A8" i="48" l="1"/>
  <c r="D8" i="48"/>
  <c r="B8" i="48"/>
  <c r="D7" i="48"/>
  <c r="D6" i="48"/>
  <c r="I12" i="44"/>
  <c r="I11" i="44"/>
  <c r="I10" i="44"/>
  <c r="B13" i="43" l="1"/>
  <c r="D15" i="48" l="1"/>
  <c r="W15" i="42" l="1"/>
  <c r="W14" i="42"/>
  <c r="R14" i="42"/>
  <c r="L15" i="35" l="1"/>
  <c r="AB14" i="42"/>
  <c r="D17" i="35"/>
  <c r="B24" i="48" l="1"/>
  <c r="B23" i="48"/>
  <c r="B2" i="48"/>
  <c r="I14" i="35" l="1"/>
  <c r="A15" i="35"/>
  <c r="A14" i="35"/>
  <c r="D6" i="35" l="1"/>
  <c r="E9" i="42"/>
  <c r="D18" i="35" l="1"/>
  <c r="L22" i="35" l="1"/>
  <c r="H46" i="35" s="1"/>
  <c r="B11" i="43"/>
  <c r="AB20" i="42" l="1"/>
  <c r="B12" i="43" s="1"/>
</calcChain>
</file>

<file path=xl/sharedStrings.xml><?xml version="1.0" encoding="utf-8"?>
<sst xmlns="http://schemas.openxmlformats.org/spreadsheetml/2006/main" count="302" uniqueCount="243">
  <si>
    <t>Date</t>
  </si>
  <si>
    <t>Particulars</t>
  </si>
  <si>
    <t>Amount</t>
  </si>
  <si>
    <t>Signature</t>
  </si>
  <si>
    <t>Printed Name</t>
  </si>
  <si>
    <t>Office</t>
  </si>
  <si>
    <t>ALMED</t>
  </si>
  <si>
    <t xml:space="preserve">Date: </t>
  </si>
  <si>
    <t xml:space="preserve">                       BUREAU OF SOILS AND WATER MANAGEMENT</t>
  </si>
  <si>
    <t>Date : _________________________</t>
  </si>
  <si>
    <t xml:space="preserve">REMINDERS: </t>
  </si>
  <si>
    <t>Entity Name</t>
  </si>
  <si>
    <t>Payee</t>
  </si>
  <si>
    <t>Address</t>
  </si>
  <si>
    <t>**make sure that the status of appointment indicated in the travel order is correct (Permanent or Contract of Service)</t>
  </si>
  <si>
    <t>Responsibility Center</t>
  </si>
  <si>
    <t>MFO/PAP</t>
  </si>
  <si>
    <t>To download this form, click "File",  "Download", and "Microsoft Excel"</t>
  </si>
  <si>
    <t xml:space="preserve">                                                        Total</t>
  </si>
  <si>
    <t>A.</t>
  </si>
  <si>
    <t>B.</t>
  </si>
  <si>
    <t xml:space="preserve"> for the purpose/adjustment necessary as</t>
  </si>
  <si>
    <t>supporting documents valid, proper and legal</t>
  </si>
  <si>
    <t xml:space="preserve"> indicated above</t>
  </si>
  <si>
    <t>Signature          : ___________________________________</t>
  </si>
  <si>
    <r>
      <rPr>
        <sz val="10"/>
        <color theme="1"/>
        <rFont val="Arial"/>
        <family val="2"/>
      </rPr>
      <t xml:space="preserve">Printed Name   : </t>
    </r>
    <r>
      <rPr>
        <b/>
        <sz val="10"/>
        <color theme="1"/>
        <rFont val="Arial"/>
        <family val="2"/>
      </rPr>
      <t>SARAH B. SUMINISTRADO</t>
    </r>
  </si>
  <si>
    <t>C.</t>
  </si>
  <si>
    <t>Reference</t>
  </si>
  <si>
    <t>Payable</t>
  </si>
  <si>
    <t>Payment</t>
  </si>
  <si>
    <t>Balance</t>
  </si>
  <si>
    <t>Not Yet Due</t>
  </si>
  <si>
    <t>Due and Demandable</t>
  </si>
  <si>
    <t>(a)</t>
  </si>
  <si>
    <t>(b)</t>
  </si>
  <si>
    <t>(c)</t>
  </si>
  <si>
    <t>(a-b)</t>
  </si>
  <si>
    <t>(b-c)</t>
  </si>
  <si>
    <t>Certified:</t>
  </si>
  <si>
    <t>Appendix 11</t>
  </si>
  <si>
    <t>OBLIGATION REQUEST AND STATUS</t>
  </si>
  <si>
    <t>Print four (4) copies of ORS</t>
  </si>
  <si>
    <t>Print the ORS checklist at the back of the 1st copy of ORS.</t>
  </si>
  <si>
    <t>Green font - fill out correct details (Payee, Office, Address, T.O.#, Date of Travel, Destination &amp; Signatory for Box A)</t>
  </si>
  <si>
    <t>Violet font - indicate the correct RC &amp; MFO/PAP</t>
  </si>
  <si>
    <t>SAMPLE RC</t>
  </si>
  <si>
    <t>Please check BSWM - 2023 RC &amp; MFO/PAP</t>
  </si>
  <si>
    <t>RC Code:</t>
  </si>
  <si>
    <t>15-03-01-03</t>
  </si>
  <si>
    <t>UACS Object Code</t>
  </si>
  <si>
    <t>Fund Source:</t>
  </si>
  <si>
    <t>STO-REG</t>
  </si>
  <si>
    <t>Division/Center:</t>
  </si>
  <si>
    <t>&lt;-c/o Budget Section</t>
  </si>
  <si>
    <t>REGULAR</t>
  </si>
  <si>
    <t>50299990-99 (for TEV of COS)</t>
  </si>
  <si>
    <t>Charges to appropriation/alloment are</t>
  </si>
  <si>
    <r>
      <rPr>
        <b/>
        <sz val="10"/>
        <color theme="1"/>
        <rFont val="Arial"/>
        <family val="2"/>
      </rPr>
      <t>Certified:</t>
    </r>
    <r>
      <rPr>
        <sz val="10"/>
        <color theme="1"/>
        <rFont val="Arial"/>
        <family val="2"/>
      </rPr>
      <t xml:space="preserve">  Allotment available and obligated</t>
    </r>
  </si>
  <si>
    <t>necessary, lawful and under my direct supervision;and</t>
  </si>
  <si>
    <t>Position           : Head, Budget Section</t>
  </si>
  <si>
    <t>Date                : ____________________________________</t>
  </si>
  <si>
    <t>STATUS OF OBLIGATION</t>
  </si>
  <si>
    <t>ORS/JEV/Check/        ADA/TRA No.</t>
  </si>
  <si>
    <t>Obligation</t>
  </si>
  <si>
    <t>TOTAL</t>
  </si>
  <si>
    <t>SRDC Building, Elliptical Road corner Visayas Ave, Diliman Quezon City</t>
  </si>
  <si>
    <t>BUREAU OF SOILS AND WATER MANAGEMENT</t>
  </si>
  <si>
    <t>JOVETTE T. ALMEDA</t>
  </si>
  <si>
    <r>
      <t>Printed Name   :</t>
    </r>
    <r>
      <rPr>
        <sz val="10"/>
        <rFont val="Arial"/>
        <family val="2"/>
      </rPr>
      <t xml:space="preserve"> </t>
    </r>
    <r>
      <rPr>
        <b/>
        <sz val="10"/>
        <rFont val="Arial"/>
        <family val="2"/>
      </rPr>
      <t>JOVETTE T. ALMEDA</t>
    </r>
  </si>
  <si>
    <t xml:space="preserve">  Approved by:</t>
  </si>
  <si>
    <t xml:space="preserve">I certify that : (1) I have reviewed the foregoing  itinerary, (2)  the  travel  is necessary to  the service, (3) the period covered   is   reasonable   and   (4)  the expenses claimed are proper.           </t>
  </si>
  <si>
    <t xml:space="preserve">  Prepared by :</t>
  </si>
  <si>
    <t>Diem</t>
  </si>
  <si>
    <t>Transportation</t>
  </si>
  <si>
    <t>Arrival</t>
  </si>
  <si>
    <t>Departure</t>
  </si>
  <si>
    <t>(Destination)</t>
  </si>
  <si>
    <t>Total Amount</t>
  </si>
  <si>
    <t>Others</t>
  </si>
  <si>
    <t>Per</t>
  </si>
  <si>
    <t>Transporstation Cost</t>
  </si>
  <si>
    <t>Means of</t>
  </si>
  <si>
    <t>T I M E</t>
  </si>
  <si>
    <t>Places to be visited</t>
  </si>
  <si>
    <t>Official Station : SRDC Bldg. Elliptical Road Corner Visayas Avenue Diliman, Quezon City</t>
  </si>
  <si>
    <t>Official Receipt No. &amp; Date/Other Documents</t>
  </si>
  <si>
    <t>Printed Name:</t>
  </si>
  <si>
    <t>Date :</t>
  </si>
  <si>
    <t>Signature:</t>
  </si>
  <si>
    <t>Bank Name &amp; Account Number:</t>
  </si>
  <si>
    <t>Check/   ADA No. :</t>
  </si>
  <si>
    <t>JEV  No.</t>
  </si>
  <si>
    <t xml:space="preserve">Receipt of Payment </t>
  </si>
  <si>
    <t xml:space="preserve">E. </t>
  </si>
  <si>
    <t>Position</t>
  </si>
  <si>
    <t>Head, Accounting Unit</t>
  </si>
  <si>
    <t>RODRIGO I. ABLAZA</t>
  </si>
  <si>
    <t>proper</t>
  </si>
  <si>
    <t xml:space="preserve"> Supporting documents complete and amount claimed </t>
  </si>
  <si>
    <t xml:space="preserve"> Subject to Authority to Debit Account (when applicable)</t>
  </si>
  <si>
    <t xml:space="preserve"> Cash available</t>
  </si>
  <si>
    <t>Approved for Payment</t>
  </si>
  <si>
    <t xml:space="preserve">D. Approved for Payment </t>
  </si>
  <si>
    <t>Credit</t>
  </si>
  <si>
    <t>Debit</t>
  </si>
  <si>
    <t>UACS Code</t>
  </si>
  <si>
    <t>Account Title</t>
  </si>
  <si>
    <t xml:space="preserve"> Accounting Entry:</t>
  </si>
  <si>
    <t xml:space="preserve"> Certified:  Expenses/Cash Advance necessary,  lawful and  incurred under my direct supervision.</t>
  </si>
  <si>
    <t>Amount Due</t>
  </si>
  <si>
    <t>Date:</t>
  </si>
  <si>
    <t xml:space="preserve">ORS/BURS No.: </t>
  </si>
  <si>
    <t>TIN/Employee No.:</t>
  </si>
  <si>
    <t>_________________</t>
  </si>
  <si>
    <t>Others (Please specify)</t>
  </si>
  <si>
    <t>ADA</t>
  </si>
  <si>
    <t>Commercial Check</t>
  </si>
  <si>
    <t>MDS Check</t>
  </si>
  <si>
    <t>Mode of Payment</t>
  </si>
  <si>
    <t>DV No. :</t>
  </si>
  <si>
    <t xml:space="preserve">Fund Cluster : </t>
  </si>
  <si>
    <t>DISBURSEMENT VOUCHER</t>
  </si>
  <si>
    <t>Republic of the Philippines</t>
  </si>
  <si>
    <t>DEPARTMENT OF AGRICULTURE</t>
  </si>
  <si>
    <t>SRDC Building Elliptical Road corner Visayas Avenue, Diliman, Quezon City 1101</t>
  </si>
  <si>
    <t>MANDATORY MINIMUM SUPPORTING DOCUMENTS FOR COMMON TRANSACTION</t>
  </si>
  <si>
    <t>Updated per Circular no. 2023-004 dated as of June 14, 2023</t>
  </si>
  <si>
    <t>*To be filled only by the Processing Officer*</t>
  </si>
  <si>
    <t>--- TRAVELLING EXPENSES ---</t>
  </si>
  <si>
    <t xml:space="preserve">Payee : </t>
  </si>
  <si>
    <t>Amount:</t>
  </si>
  <si>
    <t>Page #</t>
  </si>
  <si>
    <t>SUPPORTING DOCUMENTS</t>
  </si>
  <si>
    <t>REMARKS</t>
  </si>
  <si>
    <t>Disbursement Voucher- 3 copies</t>
  </si>
  <si>
    <t>Travel Order (duly approved by the Director)</t>
  </si>
  <si>
    <t>Evidence of travel completed</t>
  </si>
  <si>
    <t>Plane ticket</t>
  </si>
  <si>
    <t>Bus / boat ticket</t>
  </si>
  <si>
    <t>Taxi (P500.00) / Grab (300.00) ticket</t>
  </si>
  <si>
    <t>Boarding pass</t>
  </si>
  <si>
    <t>Terminal Fee Ticket</t>
  </si>
  <si>
    <t>Trip Ticket</t>
  </si>
  <si>
    <t>Official receipt from travel</t>
  </si>
  <si>
    <t>Reimbursement expense receipt (RER) (P300.00 - 1,000.00)</t>
  </si>
  <si>
    <t>Certificate not requiring reciept (COA Cir. 2017-001) (up to P300.00)</t>
  </si>
  <si>
    <t>Original Certificate of Appearance/ Attendance</t>
  </si>
  <si>
    <t xml:space="preserve">Certificate of Travel Completed </t>
  </si>
  <si>
    <t>Accomplishment Report with documentation (pictures with date)</t>
  </si>
  <si>
    <t>Memorandum signed by the the Director, if any</t>
  </si>
  <si>
    <t>Additional Requirements for non-BSWM employees:</t>
  </si>
  <si>
    <t>Memorandum / Invitation letter for National seminars,trainings and workshops.</t>
  </si>
  <si>
    <t>Approved travel order from their originated agency signed by Director</t>
  </si>
  <si>
    <t>Certificate of No claims signed by their Accountant</t>
  </si>
  <si>
    <t>Note :</t>
  </si>
  <si>
    <t xml:space="preserve">Attach all the documents in order per checklist. </t>
  </si>
  <si>
    <t>Erasures must be countersigned by proper authority.</t>
  </si>
  <si>
    <t>For claims of more than one travel in one voucher, please arrange the documents per Travel Order. ( for other group participants)</t>
  </si>
  <si>
    <r>
      <t xml:space="preserve">Reimbursement - Deadline of submission will be submitted within </t>
    </r>
    <r>
      <rPr>
        <b/>
        <sz val="10"/>
        <rFont val="Arial"/>
        <family val="2"/>
      </rPr>
      <t>30 CD</t>
    </r>
    <r>
      <rPr>
        <sz val="10"/>
        <rFont val="Arial"/>
        <family val="2"/>
      </rPr>
      <t xml:space="preserve"> upon return from his travel to his permanent station.</t>
    </r>
  </si>
  <si>
    <r>
      <t xml:space="preserve">Liquidation - </t>
    </r>
    <r>
      <rPr>
        <b/>
        <sz val="10"/>
        <rFont val="Arial"/>
        <family val="2"/>
      </rPr>
      <t>30 CD</t>
    </r>
    <r>
      <rPr>
        <sz val="10"/>
        <rFont val="Arial"/>
        <family val="2"/>
      </rPr>
      <t xml:space="preserve"> for local travel after return to the official station, </t>
    </r>
    <r>
      <rPr>
        <b/>
        <sz val="10"/>
        <rFont val="Arial"/>
        <family val="2"/>
      </rPr>
      <t>60 CD</t>
    </r>
    <r>
      <rPr>
        <sz val="10"/>
        <rFont val="Arial"/>
        <family val="2"/>
      </rPr>
      <t xml:space="preserve"> for foreign travel</t>
    </r>
  </si>
  <si>
    <t>It should be stated in the Itinerary of Travel the claimant's Official Station Address for accounting review purposes.</t>
  </si>
  <si>
    <t>Attached Certificate of Appearance should be original and with no erasures. The one certifying the certificate of Appearance should indicate his/her complete name and designation. Certificates should also have a letterhead except for special cases.</t>
  </si>
  <si>
    <t>One Certificate of Travel Completed should be furnished for one Travel Order.</t>
  </si>
  <si>
    <t xml:space="preserve">Processed by:  </t>
  </si>
  <si>
    <t>Reviewed by:</t>
  </si>
  <si>
    <t>Chief, ALMED</t>
  </si>
  <si>
    <t>50201010-00</t>
  </si>
  <si>
    <t>ENGR. ANGELICA L. ECITO</t>
  </si>
  <si>
    <t>Supervising Agriculturist</t>
  </si>
  <si>
    <t>Fund Cluster : 01</t>
  </si>
  <si>
    <t>ITINERARY OF TRAVEL</t>
  </si>
  <si>
    <t xml:space="preserve">Name: </t>
  </si>
  <si>
    <t xml:space="preserve">Position: </t>
  </si>
  <si>
    <t>Senior Agriculturist</t>
  </si>
  <si>
    <t>Obligation Request - 3 copies</t>
  </si>
  <si>
    <t>Itinerary of Travel - 2 copies</t>
  </si>
  <si>
    <t xml:space="preserve">Traveling Expenses - Local  </t>
  </si>
  <si>
    <t xml:space="preserve">Cash-Modified Disbursement System (MDS), Regular </t>
  </si>
  <si>
    <t xml:space="preserve">5-02-01-01 0  </t>
  </si>
  <si>
    <t>1-01-04-04 0-01</t>
  </si>
  <si>
    <t>Position           :  Chief, ALMED</t>
  </si>
  <si>
    <t>To reimburse actual travelling expenses and allowable per diem as per attached supporting documents in the amount of ......</t>
  </si>
  <si>
    <t>To reimburse allowable per diem and transporation cost as per attached supporting documents in the amount of ......</t>
  </si>
  <si>
    <t>Pursuant to COA Circular No. 2017-001 dated June 19, 2017</t>
  </si>
  <si>
    <t>Name of Employee</t>
  </si>
  <si>
    <t>Emp No.</t>
  </si>
  <si>
    <t>Bureau of Soils and Water Management</t>
  </si>
  <si>
    <t>Division</t>
  </si>
  <si>
    <t>Agricultural Land Management and Evaluation Division</t>
  </si>
  <si>
    <t>Total</t>
  </si>
  <si>
    <t>I hereby certify that the above expenses are incurred as they are necessary for the above cited purpose, that above goods and services were acquired from parties not issuing receipts. And that I am fully aware that willful falsification of statement is punishable by law</t>
  </si>
  <si>
    <t>Certified Correct</t>
  </si>
  <si>
    <t>Noted By:</t>
  </si>
  <si>
    <t xml:space="preserve"> </t>
  </si>
  <si>
    <t>Serial No. : 02-01101101-2026-03</t>
  </si>
  <si>
    <t>WARREN A. DEL ROSARIO</t>
  </si>
  <si>
    <t>389-477-383-000 / 318</t>
  </si>
  <si>
    <t>Agriculturist II</t>
  </si>
  <si>
    <t>STO-REG-ALMED</t>
  </si>
  <si>
    <t>Project</t>
  </si>
  <si>
    <t>PREXC</t>
  </si>
  <si>
    <t>Description</t>
  </si>
  <si>
    <t>Travelling Expenses - Local</t>
  </si>
  <si>
    <t>STO-SEM-ALMED</t>
  </si>
  <si>
    <t>STO-FMHFWCROP-ALMED</t>
  </si>
  <si>
    <t>200000-120060-300</t>
  </si>
  <si>
    <t>LFPA-NSHP-ALMED</t>
  </si>
  <si>
    <t>22-01-03-03</t>
  </si>
  <si>
    <t>330600-200030-3200</t>
  </si>
  <si>
    <t>5020101000-02</t>
  </si>
  <si>
    <t>318</t>
  </si>
  <si>
    <t>Purpose: To attend and participate in the 26th Scientific Conference and Annual Meeting of the Philippine Society of Soil Science and Technology Inc. (PSSST) with the theme, "Soil Intelegence for a Healthy Earth: Harnessing Data, AI and Innovation for Sustainable Soil Management,"</t>
  </si>
  <si>
    <t>Date (2026)
July</t>
  </si>
  <si>
    <t>Date of Travel : July 6-10, 2026</t>
  </si>
  <si>
    <t>15-03-04-03</t>
  </si>
  <si>
    <t>200000-10000-1000</t>
  </si>
  <si>
    <t>Indrive</t>
  </si>
  <si>
    <t>July 14, 2026</t>
  </si>
  <si>
    <t>10:30 AM</t>
  </si>
  <si>
    <t>11:30 AM</t>
  </si>
  <si>
    <r>
      <t xml:space="preserve">To Temporary Work Station, Tuguegarao City </t>
    </r>
    <r>
      <rPr>
        <b/>
        <sz val="10"/>
        <rFont val="Arial"/>
        <family val="2"/>
      </rPr>
      <t>Tricycle</t>
    </r>
  </si>
  <si>
    <r>
      <t xml:space="preserve">To Regulatory Division, DA-RFO 2, Tuguegarao City </t>
    </r>
    <r>
      <rPr>
        <b/>
        <sz val="10"/>
        <rFont val="Arial"/>
        <family val="2"/>
      </rPr>
      <t>Tricycle</t>
    </r>
  </si>
  <si>
    <t>REGINE MARIE B. SABORNIDO</t>
  </si>
  <si>
    <t>T.O. #: 2026-07-11246</t>
  </si>
  <si>
    <t>Date: July 15, 2026</t>
  </si>
  <si>
    <t>Destination:Sta Maria, Laguna, Region IV-A and Points</t>
  </si>
  <si>
    <t>From Residence to Pick up Points Philcoa, Quezon City</t>
  </si>
  <si>
    <t>To Espiritu Farm, Sta Maria, Laguna</t>
  </si>
  <si>
    <t>At Espiritu Farm, Sta Maria, Laguna</t>
  </si>
  <si>
    <t>July 21, 2026</t>
  </si>
  <si>
    <t>July 22-23, 2026</t>
  </si>
  <si>
    <t>July 24, 2026</t>
  </si>
  <si>
    <t>To Permanent Residence</t>
  </si>
  <si>
    <t>From Espiritu Farm to BSWM Quezon City</t>
  </si>
  <si>
    <t>Private</t>
  </si>
  <si>
    <r>
      <t xml:space="preserve">Purpose of Travel :  </t>
    </r>
    <r>
      <rPr>
        <sz val="18"/>
        <rFont val="Arial"/>
        <family val="2"/>
      </rPr>
      <t xml:space="preserve">To conduct land suitability evaluation of the proposed site </t>
    </r>
  </si>
  <si>
    <t>7:30 AM</t>
  </si>
  <si>
    <t>6:30 PM</t>
  </si>
  <si>
    <t>4:00 PM</t>
  </si>
  <si>
    <t>4:30 AM</t>
  </si>
  <si>
    <t>5:11 PM</t>
  </si>
  <si>
    <t>7:44 AM</t>
  </si>
  <si>
    <t>8:25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</si>
</sst>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_(* #,##0_);_(* \(#,##0\);_(* &quot;-&quot;_);_(@_)"/>
    <numFmt numFmtId="165" formatCode="_(* #,##0.00_);_(* \(#,##0.00\);_(* &quot;-&quot;??_);_(@_)"/>
    <numFmt numFmtId="166" formatCode="mm/dd/yy"/>
    <numFmt numFmtId="167" formatCode="_(* #,##0_);_(* \(#,##0\);_(* &quot;-&quot;??_);_(@_)"/>
    <numFmt numFmtId="168" formatCode="0.00000E+00"/>
  </numFmts>
  <fonts count="5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sz val="10"/>
      <color rgb="FF000000"/>
      <name val="Calibri"/>
      <family val="2"/>
      <scheme val="minor"/>
    </font>
    <font>
      <sz val="11"/>
      <color theme="1"/>
      <name val="Calibri"/>
      <family val="2"/>
      <scheme val="minor"/>
    </font>
    <font>
      <sz val="11"/>
      <color theme="1"/>
      <name val="Arial"/>
      <family val="2"/>
    </font>
    <font>
      <b/>
      <sz val="10"/>
      <color theme="1"/>
      <name val="Arial"/>
      <family val="2"/>
    </font>
    <font>
      <sz val="10"/>
      <name val="Arial"/>
      <family val="2"/>
    </font>
    <font>
      <sz val="11"/>
      <color theme="1"/>
      <name val="Calibri"/>
      <family val="2"/>
      <scheme val="minor"/>
    </font>
    <font>
      <sz val="11"/>
      <color theme="1"/>
      <name val="Times New Roman"/>
      <family val="1"/>
    </font>
    <font>
      <i/>
      <sz val="16"/>
      <color theme="1"/>
      <name val="Times New Roman"/>
      <family val="1"/>
    </font>
    <font>
      <sz val="10"/>
      <color theme="1"/>
      <name val="Times New Roman"/>
      <family val="1"/>
    </font>
    <font>
      <b/>
      <sz val="12"/>
      <color theme="1"/>
      <name val="Arial"/>
      <family val="2"/>
    </font>
    <font>
      <b/>
      <sz val="11"/>
      <color theme="1"/>
      <name val="Times New Roman"/>
      <family val="1"/>
    </font>
    <font>
      <sz val="11"/>
      <name val="Calibri"/>
      <family val="2"/>
    </font>
    <font>
      <b/>
      <sz val="14"/>
      <color theme="1"/>
      <name val="Arial"/>
      <family val="2"/>
    </font>
    <font>
      <b/>
      <sz val="11"/>
      <color theme="1"/>
      <name val="Arial"/>
      <family val="2"/>
    </font>
    <font>
      <b/>
      <sz val="12"/>
      <color rgb="FF6AA84F"/>
      <name val="Arial"/>
      <family val="2"/>
    </font>
    <font>
      <b/>
      <sz val="12"/>
      <color rgb="FFFF0000"/>
      <name val="Arial"/>
      <family val="2"/>
    </font>
    <font>
      <sz val="12"/>
      <color theme="1"/>
      <name val="Arial"/>
      <family val="2"/>
    </font>
    <font>
      <sz val="10"/>
      <color rgb="FF000000"/>
      <name val="Arial"/>
      <family val="2"/>
    </font>
    <font>
      <b/>
      <sz val="18"/>
      <color theme="1"/>
      <name val="Arial"/>
      <family val="2"/>
    </font>
    <font>
      <b/>
      <sz val="12"/>
      <color rgb="FF9900FF"/>
      <name val="Arial"/>
      <family val="2"/>
    </font>
    <font>
      <sz val="10"/>
      <color rgb="FF9900FF"/>
      <name val="Arial"/>
      <family val="2"/>
    </font>
    <font>
      <b/>
      <u/>
      <sz val="10"/>
      <name val="Arial"/>
      <family val="2"/>
    </font>
    <font>
      <sz val="10"/>
      <name val="Calibri"/>
      <family val="2"/>
    </font>
    <font>
      <sz val="10"/>
      <name val="Calibri"/>
      <family val="2"/>
      <scheme val="minor"/>
    </font>
    <font>
      <b/>
      <sz val="18"/>
      <name val="Arial"/>
      <family val="2"/>
    </font>
    <font>
      <sz val="10"/>
      <color theme="1"/>
      <name val="Calibri"/>
      <family val="2"/>
      <scheme val="minor"/>
    </font>
    <font>
      <sz val="10"/>
      <color theme="1"/>
      <name val="Calibri"/>
      <family val="2"/>
    </font>
    <font>
      <sz val="10"/>
      <color rgb="FFFF0000"/>
      <name val="Calibri"/>
      <family val="2"/>
      <scheme val="minor"/>
    </font>
    <font>
      <sz val="10"/>
      <color rgb="FFFF0000"/>
      <name val="Calibri"/>
      <family val="2"/>
    </font>
    <font>
      <i/>
      <sz val="10"/>
      <color theme="1"/>
      <name val="Arial"/>
      <family val="2"/>
    </font>
    <font>
      <sz val="16"/>
      <name val="Arial"/>
      <family val="2"/>
    </font>
    <font>
      <sz val="10"/>
      <color rgb="FF000000"/>
      <name val="Calibri"/>
      <family val="2"/>
      <scheme val="minor"/>
    </font>
    <font>
      <sz val="18"/>
      <name val="Arial"/>
      <family val="2"/>
    </font>
    <font>
      <b/>
      <sz val="18"/>
      <color theme="1" tint="0.249977111117893"/>
      <name val="Arial"/>
      <family val="2"/>
    </font>
    <font>
      <b/>
      <u/>
      <sz val="18"/>
      <name val="Arial"/>
      <family val="2"/>
    </font>
    <font>
      <b/>
      <sz val="26"/>
      <name val="Arial"/>
      <family val="2"/>
    </font>
    <font>
      <i/>
      <sz val="10"/>
      <color theme="1"/>
      <name val="Arial"/>
      <family val="2"/>
    </font>
    <font>
      <sz val="10"/>
      <name val="Arial"/>
      <family val="2"/>
    </font>
    <font>
      <sz val="10"/>
      <color theme="1"/>
      <name val="Arial"/>
      <family val="2"/>
    </font>
    <font>
      <b/>
      <sz val="10"/>
      <color theme="1"/>
      <name val="Arial"/>
      <family val="2"/>
    </font>
    <font>
      <sz val="9"/>
      <name val="Arial"/>
      <family val="2"/>
    </font>
  </fonts>
  <fills count="6">
    <fill>
      <patternFill patternType="none"/>
    </fill>
    <fill>
      <patternFill patternType="gray125"/>
    </fill>
    <fill>
      <patternFill patternType="solid">
        <fgColor rgb="FFFFFF00"/>
        <bgColor rgb="FFFFFF00"/>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s>
  <borders count="108">
    <border>
      <left/>
      <right/>
      <top/>
      <bottom/>
      <diagonal/>
    </border>
    <border>
      <left/>
      <right/>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0">
    <xf numFmtId="0" fontId="0" fillId="0" borderId="0"/>
    <xf numFmtId="165" fontId="6" fillId="0" borderId="0" applyFont="0" applyFill="0" applyBorder="0" applyAlignment="0" applyProtection="0"/>
    <xf numFmtId="0" fontId="9" fillId="0" borderId="0"/>
    <xf numFmtId="0" fontId="10" fillId="0" borderId="0"/>
    <xf numFmtId="0" fontId="5" fillId="0" borderId="0"/>
    <xf numFmtId="165" fontId="5" fillId="0" borderId="0" applyFont="0" applyFill="0" applyBorder="0" applyAlignment="0" applyProtection="0"/>
    <xf numFmtId="0" fontId="6" fillId="0" borderId="0"/>
    <xf numFmtId="0" fontId="4" fillId="0" borderId="0"/>
    <xf numFmtId="0" fontId="13" fillId="0" borderId="0"/>
    <xf numFmtId="0" fontId="14" fillId="0" borderId="0"/>
    <xf numFmtId="165" fontId="3" fillId="0" borderId="0" applyFont="0" applyFill="0" applyBorder="0" applyAlignment="0" applyProtection="0"/>
    <xf numFmtId="0" fontId="6" fillId="0" borderId="0"/>
    <xf numFmtId="165" fontId="6" fillId="0" borderId="0" applyFont="0" applyFill="0" applyBorder="0" applyAlignment="0" applyProtection="0"/>
    <xf numFmtId="0" fontId="2" fillId="0" borderId="0"/>
    <xf numFmtId="165" fontId="2" fillId="0" borderId="0" applyFont="0" applyFill="0" applyBorder="0" applyAlignment="0" applyProtection="0"/>
    <xf numFmtId="0" fontId="6" fillId="0" borderId="0"/>
    <xf numFmtId="0" fontId="40" fillId="0" borderId="0"/>
    <xf numFmtId="165" fontId="40" fillId="0" borderId="0" applyFont="0" applyFill="0" applyBorder="0" applyAlignment="0" applyProtection="0"/>
    <xf numFmtId="0" fontId="1" fillId="0" borderId="0"/>
    <xf numFmtId="165" fontId="1" fillId="0" borderId="0" applyFont="0" applyFill="0" applyBorder="0" applyAlignment="0" applyProtection="0"/>
  </cellStyleXfs>
  <cellXfs count="611">
    <xf numFmtId="0" fontId="0" fillId="0" borderId="0" xfId="0"/>
    <xf numFmtId="0" fontId="15" fillId="0" borderId="0" xfId="8" applyFont="1"/>
    <xf numFmtId="0" fontId="17" fillId="0" borderId="0" xfId="8" applyFont="1"/>
    <xf numFmtId="0" fontId="25" fillId="2" borderId="0" xfId="8" applyFont="1" applyFill="1" applyAlignment="1">
      <alignment vertical="center"/>
    </xf>
    <xf numFmtId="0" fontId="18" fillId="2" borderId="0" xfId="8" applyFont="1" applyFill="1"/>
    <xf numFmtId="0" fontId="18" fillId="0" borderId="0" xfId="8" applyFont="1"/>
    <xf numFmtId="0" fontId="0" fillId="0" borderId="0" xfId="8" applyFont="1"/>
    <xf numFmtId="0" fontId="17" fillId="0" borderId="0" xfId="8" applyFont="1" applyAlignment="1">
      <alignment vertical="center"/>
    </xf>
    <xf numFmtId="0" fontId="27" fillId="2" borderId="0" xfId="8" applyFont="1" applyFill="1" applyAlignment="1">
      <alignment vertical="center"/>
    </xf>
    <xf numFmtId="0" fontId="18" fillId="0" borderId="0" xfId="8" applyFont="1" applyAlignment="1">
      <alignment vertical="center"/>
    </xf>
    <xf numFmtId="0" fontId="23" fillId="0" borderId="0" xfId="8" applyFont="1" applyAlignment="1">
      <alignment vertical="center"/>
    </xf>
    <xf numFmtId="0" fontId="24" fillId="0" borderId="0" xfId="8" applyFont="1" applyAlignment="1">
      <alignment vertical="center"/>
    </xf>
    <xf numFmtId="0" fontId="28" fillId="0" borderId="0" xfId="8" applyFont="1" applyAlignment="1">
      <alignment vertical="center"/>
    </xf>
    <xf numFmtId="0" fontId="18" fillId="3" borderId="0" xfId="8" applyFont="1" applyFill="1" applyAlignment="1">
      <alignment horizontal="center" vertical="center"/>
    </xf>
    <xf numFmtId="0" fontId="12" fillId="0" borderId="0" xfId="8" applyFont="1" applyAlignment="1">
      <alignment horizontal="right" vertical="center"/>
    </xf>
    <xf numFmtId="0" fontId="8" fillId="4" borderId="0" xfId="8" applyFont="1" applyFill="1" applyAlignment="1">
      <alignment horizontal="center" vertical="center"/>
    </xf>
    <xf numFmtId="0" fontId="12" fillId="0" borderId="0" xfId="8" applyFont="1" applyAlignment="1">
      <alignment horizontal="left" vertical="center"/>
    </xf>
    <xf numFmtId="0" fontId="29" fillId="0" borderId="0" xfId="8" applyFont="1" applyAlignment="1">
      <alignment horizontal="center" vertical="center"/>
    </xf>
    <xf numFmtId="0" fontId="8" fillId="0" borderId="37" xfId="8" applyFont="1" applyBorder="1" applyAlignment="1">
      <alignment vertical="center"/>
    </xf>
    <xf numFmtId="0" fontId="8" fillId="5" borderId="0" xfId="8" applyFont="1" applyFill="1" applyAlignment="1">
      <alignment horizontal="center" vertical="center"/>
    </xf>
    <xf numFmtId="0" fontId="8" fillId="0" borderId="37" xfId="8" applyFont="1" applyBorder="1" applyAlignment="1">
      <alignment horizontal="center"/>
    </xf>
    <xf numFmtId="0" fontId="25" fillId="0" borderId="0" xfId="8" applyFont="1"/>
    <xf numFmtId="0" fontId="8" fillId="0" borderId="40" xfId="8" applyFont="1" applyBorder="1" applyAlignment="1">
      <alignment wrapText="1"/>
    </xf>
    <xf numFmtId="0" fontId="12" fillId="0" borderId="0" xfId="8" applyFont="1" applyAlignment="1">
      <alignment vertical="center"/>
    </xf>
    <xf numFmtId="0" fontId="8" fillId="0" borderId="0" xfId="8" applyFont="1"/>
    <xf numFmtId="0" fontId="12" fillId="0" borderId="0" xfId="8" applyFont="1" applyAlignment="1">
      <alignment horizontal="left" vertical="center" wrapText="1"/>
    </xf>
    <xf numFmtId="0" fontId="8" fillId="0" borderId="16" xfId="8" applyFont="1" applyBorder="1"/>
    <xf numFmtId="0" fontId="12" fillId="0" borderId="0" xfId="8" applyFont="1"/>
    <xf numFmtId="0" fontId="25" fillId="0" borderId="0" xfId="8" applyFont="1" applyAlignment="1">
      <alignment vertical="center"/>
    </xf>
    <xf numFmtId="0" fontId="12" fillId="0" borderId="15" xfId="8" applyFont="1" applyBorder="1"/>
    <xf numFmtId="0" fontId="8" fillId="0" borderId="15" xfId="8" applyFont="1" applyBorder="1"/>
    <xf numFmtId="0" fontId="8" fillId="0" borderId="15" xfId="8" applyFont="1" applyBorder="1" applyAlignment="1">
      <alignment wrapText="1"/>
    </xf>
    <xf numFmtId="0" fontId="8" fillId="0" borderId="0" xfId="8" applyFont="1" applyAlignment="1">
      <alignment wrapText="1"/>
    </xf>
    <xf numFmtId="0" fontId="8" fillId="0" borderId="15" xfId="8" applyFont="1" applyBorder="1" applyAlignment="1">
      <alignment horizontal="left" vertical="center" wrapText="1"/>
    </xf>
    <xf numFmtId="0" fontId="8" fillId="0" borderId="0" xfId="8" applyFont="1" applyAlignment="1">
      <alignment horizontal="left" vertical="center" wrapText="1"/>
    </xf>
    <xf numFmtId="0" fontId="8" fillId="0" borderId="16" xfId="8" applyFont="1" applyBorder="1" applyAlignment="1">
      <alignment horizontal="left" vertical="center" wrapText="1"/>
    </xf>
    <xf numFmtId="0" fontId="8" fillId="0" borderId="0" xfId="8" applyFont="1" applyAlignment="1">
      <alignment horizontal="left" vertical="center"/>
    </xf>
    <xf numFmtId="0" fontId="8" fillId="0" borderId="16" xfId="8" applyFont="1" applyBorder="1" applyAlignment="1">
      <alignment horizontal="left" vertical="center"/>
    </xf>
    <xf numFmtId="0" fontId="8" fillId="0" borderId="17" xfId="8" applyFont="1" applyBorder="1" applyAlignment="1">
      <alignment vertical="center" wrapText="1"/>
    </xf>
    <xf numFmtId="0" fontId="8" fillId="0" borderId="11" xfId="8" applyFont="1" applyBorder="1" applyAlignment="1">
      <alignment vertical="center" wrapText="1"/>
    </xf>
    <xf numFmtId="0" fontId="8" fillId="0" borderId="18" xfId="8" applyFont="1" applyBorder="1" applyAlignment="1">
      <alignment vertical="center" wrapText="1"/>
    </xf>
    <xf numFmtId="0" fontId="8" fillId="0" borderId="45" xfId="8" applyFont="1" applyBorder="1" applyAlignment="1">
      <alignment vertical="center"/>
    </xf>
    <xf numFmtId="0" fontId="8" fillId="0" borderId="20" xfId="8" applyFont="1" applyBorder="1" applyAlignment="1">
      <alignment vertical="center"/>
    </xf>
    <xf numFmtId="0" fontId="8" fillId="0" borderId="13" xfId="8" applyFont="1" applyBorder="1" applyAlignment="1">
      <alignment vertical="center"/>
    </xf>
    <xf numFmtId="0" fontId="8" fillId="0" borderId="14" xfId="8" applyFont="1" applyBorder="1" applyAlignment="1">
      <alignment vertical="center"/>
    </xf>
    <xf numFmtId="0" fontId="12" fillId="0" borderId="46" xfId="8" applyFont="1" applyBorder="1" applyAlignment="1">
      <alignment vertical="center"/>
    </xf>
    <xf numFmtId="0" fontId="8" fillId="0" borderId="37" xfId="8" applyFont="1" applyBorder="1" applyAlignment="1">
      <alignment horizontal="center" vertical="center"/>
    </xf>
    <xf numFmtId="0" fontId="8" fillId="0" borderId="47" xfId="8" applyFont="1" applyBorder="1" applyAlignment="1">
      <alignment horizontal="center" vertical="center" wrapText="1"/>
    </xf>
    <xf numFmtId="0" fontId="8" fillId="0" borderId="46" xfId="8" applyFont="1" applyBorder="1" applyAlignment="1">
      <alignment horizontal="center" vertical="center"/>
    </xf>
    <xf numFmtId="0" fontId="8" fillId="0" borderId="49" xfId="8" applyFont="1" applyBorder="1" applyAlignment="1">
      <alignment horizontal="center" vertical="center"/>
    </xf>
    <xf numFmtId="0" fontId="8" fillId="0" borderId="50" xfId="8" applyFont="1" applyBorder="1" applyAlignment="1">
      <alignment horizontal="center" vertical="center" wrapText="1"/>
    </xf>
    <xf numFmtId="166" fontId="8" fillId="0" borderId="43" xfId="8" applyNumberFormat="1" applyFont="1" applyBorder="1" applyAlignment="1">
      <alignment vertical="center"/>
    </xf>
    <xf numFmtId="166" fontId="8" fillId="0" borderId="36" xfId="8" applyNumberFormat="1" applyFont="1" applyBorder="1" applyAlignment="1">
      <alignment vertical="center"/>
    </xf>
    <xf numFmtId="0" fontId="8" fillId="0" borderId="0" xfId="8" applyFont="1" applyAlignment="1">
      <alignment vertical="center"/>
    </xf>
    <xf numFmtId="0" fontId="8" fillId="0" borderId="35" xfId="8" applyFont="1" applyBorder="1" applyAlignment="1">
      <alignment vertical="center"/>
    </xf>
    <xf numFmtId="0" fontId="8" fillId="0" borderId="36" xfId="8" applyFont="1" applyBorder="1" applyAlignment="1">
      <alignment vertical="center"/>
    </xf>
    <xf numFmtId="0" fontId="8" fillId="0" borderId="16" xfId="8" applyFont="1" applyBorder="1" applyAlignment="1">
      <alignment vertical="center"/>
    </xf>
    <xf numFmtId="164" fontId="8" fillId="0" borderId="43" xfId="8" applyNumberFormat="1" applyFont="1" applyBorder="1" applyAlignment="1">
      <alignment vertical="center"/>
    </xf>
    <xf numFmtId="164" fontId="8" fillId="0" borderId="37" xfId="8" applyNumberFormat="1" applyFont="1" applyBorder="1" applyAlignment="1">
      <alignment vertical="center"/>
    </xf>
    <xf numFmtId="164" fontId="8" fillId="0" borderId="16" xfId="8" applyNumberFormat="1" applyFont="1" applyBorder="1" applyAlignment="1">
      <alignment vertical="center"/>
    </xf>
    <xf numFmtId="0" fontId="8" fillId="0" borderId="36" xfId="8" applyFont="1" applyBorder="1" applyAlignment="1">
      <alignment horizontal="left" vertical="center" wrapText="1"/>
    </xf>
    <xf numFmtId="165" fontId="8" fillId="0" borderId="43" xfId="8" applyNumberFormat="1" applyFont="1" applyBorder="1" applyAlignment="1">
      <alignment vertical="center"/>
    </xf>
    <xf numFmtId="164" fontId="8" fillId="0" borderId="36" xfId="8" applyNumberFormat="1" applyFont="1" applyBorder="1" applyAlignment="1">
      <alignment vertical="center"/>
    </xf>
    <xf numFmtId="164" fontId="8" fillId="0" borderId="35" xfId="8" applyNumberFormat="1" applyFont="1" applyBorder="1" applyAlignment="1">
      <alignment vertical="center"/>
    </xf>
    <xf numFmtId="0" fontId="8" fillId="0" borderId="43" xfId="8" applyFont="1" applyBorder="1" applyAlignment="1">
      <alignment vertical="center"/>
    </xf>
    <xf numFmtId="166" fontId="8" fillId="0" borderId="48" xfId="8" applyNumberFormat="1" applyFont="1" applyBorder="1" applyAlignment="1">
      <alignment vertical="center"/>
    </xf>
    <xf numFmtId="166" fontId="8" fillId="0" borderId="32" xfId="8" applyNumberFormat="1" applyFont="1" applyBorder="1" applyAlignment="1">
      <alignment vertical="center"/>
    </xf>
    <xf numFmtId="0" fontId="8" fillId="0" borderId="11" xfId="8" applyFont="1" applyBorder="1" applyAlignment="1">
      <alignment vertical="center"/>
    </xf>
    <xf numFmtId="0" fontId="8" fillId="0" borderId="31" xfId="8" applyFont="1" applyBorder="1" applyAlignment="1">
      <alignment vertical="center"/>
    </xf>
    <xf numFmtId="0" fontId="8" fillId="0" borderId="32" xfId="8" applyFont="1" applyBorder="1" applyAlignment="1">
      <alignment vertical="center"/>
    </xf>
    <xf numFmtId="0" fontId="8" fillId="0" borderId="18" xfId="8" applyFont="1" applyBorder="1" applyAlignment="1">
      <alignment vertical="center"/>
    </xf>
    <xf numFmtId="0" fontId="8" fillId="0" borderId="48" xfId="8" applyFont="1" applyBorder="1" applyAlignment="1">
      <alignment vertical="center"/>
    </xf>
    <xf numFmtId="0" fontId="8" fillId="0" borderId="34" xfId="8" applyFont="1" applyBorder="1" applyAlignment="1">
      <alignment vertical="center"/>
    </xf>
    <xf numFmtId="0" fontId="6" fillId="0" borderId="0" xfId="6"/>
    <xf numFmtId="0" fontId="6" fillId="0" borderId="52" xfId="6" applyBorder="1"/>
    <xf numFmtId="0" fontId="6" fillId="0" borderId="51" xfId="6" applyBorder="1"/>
    <xf numFmtId="0" fontId="6" fillId="0" borderId="0" xfId="6" applyAlignment="1">
      <alignment horizontal="left"/>
    </xf>
    <xf numFmtId="0" fontId="6" fillId="0" borderId="52" xfId="6" applyBorder="1" applyAlignment="1">
      <alignment horizontal="left" vertical="top" wrapText="1"/>
    </xf>
    <xf numFmtId="0" fontId="6" fillId="0" borderId="5" xfId="6" applyBorder="1"/>
    <xf numFmtId="0" fontId="6" fillId="0" borderId="71" xfId="6" applyBorder="1"/>
    <xf numFmtId="0" fontId="6" fillId="0" borderId="56" xfId="6" applyBorder="1"/>
    <xf numFmtId="0" fontId="7" fillId="0" borderId="73" xfId="6" applyFont="1" applyBorder="1"/>
    <xf numFmtId="0" fontId="7" fillId="0" borderId="74" xfId="6" applyFont="1" applyBorder="1"/>
    <xf numFmtId="0" fontId="7" fillId="0" borderId="75" xfId="6" applyFont="1" applyBorder="1"/>
    <xf numFmtId="0" fontId="6" fillId="0" borderId="65" xfId="6" applyBorder="1"/>
    <xf numFmtId="0" fontId="6" fillId="0" borderId="66" xfId="6" applyBorder="1"/>
    <xf numFmtId="0" fontId="6" fillId="0" borderId="4" xfId="6" applyBorder="1"/>
    <xf numFmtId="0" fontId="6" fillId="0" borderId="74" xfId="6" applyBorder="1" applyAlignment="1">
      <alignment vertical="justify"/>
    </xf>
    <xf numFmtId="0" fontId="6" fillId="0" borderId="80" xfId="6" applyBorder="1"/>
    <xf numFmtId="0" fontId="6" fillId="0" borderId="74" xfId="6" applyBorder="1"/>
    <xf numFmtId="0" fontId="6" fillId="0" borderId="2" xfId="6" applyBorder="1" applyAlignment="1">
      <alignment vertical="center" wrapText="1"/>
    </xf>
    <xf numFmtId="0" fontId="6" fillId="0" borderId="52" xfId="6" applyBorder="1" applyAlignment="1">
      <alignment vertical="center" wrapText="1"/>
    </xf>
    <xf numFmtId="0" fontId="7" fillId="0" borderId="74" xfId="6" applyFont="1" applyBorder="1" applyAlignment="1">
      <alignment vertical="center"/>
    </xf>
    <xf numFmtId="0" fontId="6" fillId="0" borderId="74" xfId="6" applyBorder="1" applyAlignment="1">
      <alignment vertical="center"/>
    </xf>
    <xf numFmtId="0" fontId="7" fillId="0" borderId="75" xfId="6" applyFont="1" applyBorder="1" applyAlignment="1">
      <alignment vertical="center"/>
    </xf>
    <xf numFmtId="0" fontId="6" fillId="0" borderId="52" xfId="6" applyBorder="1" applyAlignment="1">
      <alignment horizontal="center" wrapText="1"/>
    </xf>
    <xf numFmtId="0" fontId="6" fillId="0" borderId="2" xfId="6" applyBorder="1"/>
    <xf numFmtId="0" fontId="6" fillId="0" borderId="3" xfId="6" applyBorder="1"/>
    <xf numFmtId="4" fontId="6" fillId="0" borderId="3" xfId="6" applyNumberFormat="1" applyBorder="1" applyAlignment="1">
      <alignment vertical="center" wrapText="1"/>
    </xf>
    <xf numFmtId="168" fontId="6" fillId="0" borderId="2" xfId="6" quotePrefix="1" applyNumberFormat="1" applyBorder="1" applyAlignment="1">
      <alignment vertical="center" wrapText="1"/>
    </xf>
    <xf numFmtId="168" fontId="6" fillId="0" borderId="3" xfId="6" quotePrefix="1" applyNumberFormat="1" applyBorder="1" applyAlignment="1">
      <alignment vertical="center" wrapText="1"/>
    </xf>
    <xf numFmtId="0" fontId="6" fillId="0" borderId="3" xfId="6" applyBorder="1" applyAlignment="1">
      <alignment vertical="center" wrapText="1"/>
    </xf>
    <xf numFmtId="49" fontId="6" fillId="0" borderId="0" xfId="6" applyNumberFormat="1"/>
    <xf numFmtId="0" fontId="7" fillId="0" borderId="0" xfId="6" applyFont="1" applyAlignment="1">
      <alignment vertical="center" wrapText="1"/>
    </xf>
    <xf numFmtId="0" fontId="6" fillId="0" borderId="1" xfId="6" applyBorder="1" applyAlignment="1">
      <alignment vertical="top"/>
    </xf>
    <xf numFmtId="0" fontId="6" fillId="0" borderId="56" xfId="6" applyBorder="1" applyAlignment="1">
      <alignment horizontal="center" wrapText="1"/>
    </xf>
    <xf numFmtId="0" fontId="7" fillId="0" borderId="1" xfId="6" applyFont="1" applyBorder="1" applyAlignment="1">
      <alignment vertical="center"/>
    </xf>
    <xf numFmtId="0" fontId="7" fillId="0" borderId="0" xfId="6" applyFont="1" applyAlignment="1">
      <alignment vertical="center"/>
    </xf>
    <xf numFmtId="0" fontId="8" fillId="0" borderId="0" xfId="6" applyFont="1"/>
    <xf numFmtId="0" fontId="12" fillId="0" borderId="0" xfId="6" applyFont="1"/>
    <xf numFmtId="0" fontId="8" fillId="0" borderId="0" xfId="6" applyFont="1" applyAlignment="1">
      <alignment horizontal="right"/>
    </xf>
    <xf numFmtId="0" fontId="12" fillId="0" borderId="86" xfId="6" applyFont="1" applyBorder="1" applyAlignment="1">
      <alignment horizontal="center"/>
    </xf>
    <xf numFmtId="0" fontId="8" fillId="0" borderId="86" xfId="6" applyFont="1" applyBorder="1"/>
    <xf numFmtId="0" fontId="8" fillId="0" borderId="87" xfId="6" applyFont="1" applyBorder="1"/>
    <xf numFmtId="0" fontId="8" fillId="0" borderId="88" xfId="6" applyFont="1" applyBorder="1"/>
    <xf numFmtId="0" fontId="12" fillId="0" borderId="86" xfId="6" applyFont="1" applyBorder="1"/>
    <xf numFmtId="0" fontId="7" fillId="0" borderId="81" xfId="6" applyFont="1" applyBorder="1" applyAlignment="1">
      <alignment vertical="center"/>
    </xf>
    <xf numFmtId="0" fontId="6" fillId="0" borderId="9" xfId="6" applyBorder="1"/>
    <xf numFmtId="0" fontId="6" fillId="0" borderId="79" xfId="6" applyBorder="1"/>
    <xf numFmtId="0" fontId="6" fillId="0" borderId="10" xfId="6" applyBorder="1"/>
    <xf numFmtId="0" fontId="8" fillId="0" borderId="36" xfId="8" applyFont="1" applyBorder="1" applyAlignment="1">
      <alignment horizontal="left" wrapText="1"/>
    </xf>
    <xf numFmtId="0" fontId="8" fillId="0" borderId="15" xfId="8" applyFont="1" applyBorder="1" applyAlignment="1">
      <alignment horizontal="center"/>
    </xf>
    <xf numFmtId="0" fontId="8" fillId="0" borderId="36" xfId="8" applyFont="1" applyBorder="1" applyAlignment="1">
      <alignment horizontal="center"/>
    </xf>
    <xf numFmtId="165" fontId="8" fillId="0" borderId="36" xfId="8" applyNumberFormat="1" applyFont="1" applyBorder="1" applyAlignment="1">
      <alignment horizontal="center"/>
    </xf>
    <xf numFmtId="0" fontId="6" fillId="0" borderId="0" xfId="8" applyFont="1"/>
    <xf numFmtId="0" fontId="31" fillId="0" borderId="35" xfId="8" applyFont="1" applyBorder="1"/>
    <xf numFmtId="0" fontId="34" fillId="0" borderId="0" xfId="8" applyFont="1" applyAlignment="1">
      <alignment wrapText="1"/>
    </xf>
    <xf numFmtId="0" fontId="35" fillId="0" borderId="35" xfId="8" applyFont="1" applyBorder="1" applyAlignment="1">
      <alignment wrapText="1"/>
    </xf>
    <xf numFmtId="0" fontId="31" fillId="0" borderId="16" xfId="8" applyFont="1" applyBorder="1"/>
    <xf numFmtId="165" fontId="31" fillId="0" borderId="16" xfId="1" applyFont="1" applyBorder="1"/>
    <xf numFmtId="0" fontId="6" fillId="0" borderId="1" xfId="6" applyBorder="1"/>
    <xf numFmtId="0" fontId="6" fillId="0" borderId="1" xfId="6" applyBorder="1" applyAlignment="1">
      <alignment wrapText="1"/>
    </xf>
    <xf numFmtId="0" fontId="6" fillId="0" borderId="3" xfId="6" applyBorder="1" applyAlignment="1">
      <alignment wrapText="1"/>
    </xf>
    <xf numFmtId="0" fontId="6" fillId="0" borderId="51" xfId="6" applyBorder="1" applyAlignment="1">
      <alignment wrapText="1"/>
    </xf>
    <xf numFmtId="0" fontId="6" fillId="0" borderId="6" xfId="6" applyBorder="1" applyAlignment="1">
      <alignment vertical="center" wrapText="1"/>
    </xf>
    <xf numFmtId="0" fontId="6" fillId="0" borderId="6" xfId="6" applyBorder="1" applyAlignment="1">
      <alignment wrapText="1"/>
    </xf>
    <xf numFmtId="0" fontId="6" fillId="0" borderId="71" xfId="6" applyBorder="1" applyAlignment="1">
      <alignment wrapText="1"/>
    </xf>
    <xf numFmtId="0" fontId="6" fillId="0" borderId="2" xfId="6" applyBorder="1" applyAlignment="1">
      <alignment wrapText="1"/>
    </xf>
    <xf numFmtId="0" fontId="6" fillId="0" borderId="76" xfId="6" applyBorder="1" applyAlignment="1">
      <alignment wrapText="1"/>
    </xf>
    <xf numFmtId="0" fontId="6" fillId="0" borderId="53" xfId="6" applyBorder="1" applyAlignment="1">
      <alignment wrapText="1"/>
    </xf>
    <xf numFmtId="0" fontId="6" fillId="0" borderId="65" xfId="6" applyBorder="1" applyAlignment="1">
      <alignment wrapText="1"/>
    </xf>
    <xf numFmtId="0" fontId="6" fillId="0" borderId="0" xfId="6" applyAlignment="1">
      <alignment wrapText="1"/>
    </xf>
    <xf numFmtId="0" fontId="6" fillId="0" borderId="52" xfId="6" applyBorder="1" applyAlignment="1">
      <alignment vertical="center"/>
    </xf>
    <xf numFmtId="168" fontId="6" fillId="0" borderId="0" xfId="6" quotePrefix="1" applyNumberFormat="1" applyAlignment="1">
      <alignment vertical="center" wrapText="1"/>
    </xf>
    <xf numFmtId="4" fontId="6" fillId="0" borderId="0" xfId="6" applyNumberFormat="1" applyAlignment="1">
      <alignment vertical="center" wrapText="1"/>
    </xf>
    <xf numFmtId="0" fontId="7" fillId="0" borderId="0" xfId="6" applyFont="1"/>
    <xf numFmtId="0" fontId="6" fillId="0" borderId="0" xfId="6" applyAlignment="1">
      <alignment horizontal="center" wrapText="1"/>
    </xf>
    <xf numFmtId="0" fontId="6" fillId="0" borderId="0" xfId="6" applyAlignment="1">
      <alignment horizontal="center"/>
    </xf>
    <xf numFmtId="165" fontId="7" fillId="0" borderId="0" xfId="6" applyNumberFormat="1" applyFont="1" applyAlignment="1">
      <alignment horizontal="center" wrapText="1"/>
    </xf>
    <xf numFmtId="0" fontId="7" fillId="0" borderId="0" xfId="6" applyFont="1" applyAlignment="1">
      <alignment horizontal="center" wrapText="1"/>
    </xf>
    <xf numFmtId="0" fontId="6" fillId="0" borderId="0" xfId="6" applyAlignment="1">
      <alignment vertical="center" wrapText="1"/>
    </xf>
    <xf numFmtId="0" fontId="6" fillId="0" borderId="0" xfId="6" applyAlignment="1">
      <alignment horizontal="left" vertical="center" wrapText="1"/>
    </xf>
    <xf numFmtId="4" fontId="6" fillId="0" borderId="51" xfId="6" applyNumberFormat="1" applyBorder="1" applyAlignment="1">
      <alignment vertical="center" wrapText="1"/>
    </xf>
    <xf numFmtId="0" fontId="7" fillId="0" borderId="51" xfId="6" applyFont="1" applyBorder="1"/>
    <xf numFmtId="0" fontId="7" fillId="0" borderId="51" xfId="6" applyFont="1" applyBorder="1" applyAlignment="1">
      <alignment horizontal="center" wrapText="1"/>
    </xf>
    <xf numFmtId="0" fontId="7" fillId="0" borderId="80" xfId="6" applyFont="1" applyBorder="1" applyAlignment="1">
      <alignment vertical="center"/>
    </xf>
    <xf numFmtId="0" fontId="6" fillId="0" borderId="80" xfId="6" applyBorder="1" applyAlignment="1">
      <alignment vertical="justify"/>
    </xf>
    <xf numFmtId="0" fontId="6" fillId="0" borderId="64" xfId="6" applyBorder="1"/>
    <xf numFmtId="0" fontId="6" fillId="0" borderId="63" xfId="6" applyBorder="1"/>
    <xf numFmtId="0" fontId="6" fillId="0" borderId="71" xfId="6" applyBorder="1" applyAlignment="1">
      <alignment horizontal="left" indent="1"/>
    </xf>
    <xf numFmtId="0" fontId="6" fillId="0" borderId="3" xfId="6" applyBorder="1" applyAlignment="1">
      <alignment horizontal="center" vertical="center" wrapText="1"/>
    </xf>
    <xf numFmtId="0" fontId="6" fillId="0" borderId="0" xfId="6" applyAlignment="1">
      <alignment horizontal="center" vertical="center" wrapText="1"/>
    </xf>
    <xf numFmtId="0" fontId="6" fillId="0" borderId="2" xfId="6" applyBorder="1" applyAlignment="1">
      <alignment horizontal="center" vertical="center" wrapText="1"/>
    </xf>
    <xf numFmtId="165" fontId="6" fillId="0" borderId="3" xfId="1" quotePrefix="1" applyFont="1" applyBorder="1" applyAlignment="1">
      <alignment horizontal="center" vertical="center" wrapText="1"/>
    </xf>
    <xf numFmtId="165" fontId="6" fillId="0" borderId="0" xfId="1" quotePrefix="1" applyFont="1" applyBorder="1" applyAlignment="1">
      <alignment horizontal="center" vertical="center" wrapText="1"/>
    </xf>
    <xf numFmtId="165" fontId="6" fillId="0" borderId="51" xfId="1" quotePrefix="1" applyFont="1" applyBorder="1" applyAlignment="1">
      <alignment horizontal="center" vertical="center" wrapText="1"/>
    </xf>
    <xf numFmtId="168" fontId="6" fillId="0" borderId="3" xfId="6" quotePrefix="1" applyNumberFormat="1" applyBorder="1" applyAlignment="1">
      <alignment horizontal="center" vertical="center" wrapText="1"/>
    </xf>
    <xf numFmtId="168" fontId="6" fillId="0" borderId="0" xfId="6" quotePrefix="1" applyNumberFormat="1" applyAlignment="1">
      <alignment horizontal="center" vertical="center" wrapText="1"/>
    </xf>
    <xf numFmtId="168" fontId="6" fillId="0" borderId="2" xfId="6" quotePrefix="1" applyNumberFormat="1" applyBorder="1" applyAlignment="1">
      <alignment horizontal="center" vertical="center" wrapText="1"/>
    </xf>
    <xf numFmtId="0" fontId="6" fillId="0" borderId="52" xfId="6" applyBorder="1" applyAlignment="1">
      <alignment horizontal="center" vertical="top" wrapText="1"/>
    </xf>
    <xf numFmtId="0" fontId="33" fillId="0" borderId="0" xfId="6" applyFont="1" applyAlignment="1">
      <alignment horizontal="center" vertical="center"/>
    </xf>
    <xf numFmtId="0" fontId="39" fillId="0" borderId="0" xfId="6" applyFont="1"/>
    <xf numFmtId="165" fontId="39" fillId="0" borderId="0" xfId="12" applyFont="1" applyBorder="1"/>
    <xf numFmtId="43" fontId="39" fillId="0" borderId="0" xfId="6" applyNumberFormat="1" applyFont="1"/>
    <xf numFmtId="0" fontId="39" fillId="0" borderId="0" xfId="6" applyFont="1" applyAlignment="1">
      <alignment horizontal="center" vertical="center"/>
    </xf>
    <xf numFmtId="0" fontId="39" fillId="0" borderId="0" xfId="6" applyFont="1" applyAlignment="1">
      <alignment horizontal="left"/>
    </xf>
    <xf numFmtId="167" fontId="39" fillId="0" borderId="0" xfId="12" applyNumberFormat="1" applyFont="1"/>
    <xf numFmtId="0" fontId="33" fillId="0" borderId="62" xfId="6" applyFont="1" applyBorder="1" applyAlignment="1">
      <alignment horizontal="center" vertical="center"/>
    </xf>
    <xf numFmtId="0" fontId="33" fillId="0" borderId="58" xfId="6" applyFont="1" applyBorder="1" applyAlignment="1">
      <alignment horizontal="center" vertical="center"/>
    </xf>
    <xf numFmtId="0" fontId="33" fillId="0" borderId="62" xfId="6" applyFont="1" applyBorder="1" applyAlignment="1">
      <alignment horizontal="center" vertical="top"/>
    </xf>
    <xf numFmtId="167" fontId="33" fillId="0" borderId="62" xfId="1" applyNumberFormat="1" applyFont="1" applyBorder="1" applyAlignment="1">
      <alignment horizontal="center" vertical="top"/>
    </xf>
    <xf numFmtId="0" fontId="41" fillId="0" borderId="52" xfId="6" applyFont="1" applyBorder="1" applyAlignment="1">
      <alignment vertical="center"/>
    </xf>
    <xf numFmtId="0" fontId="41" fillId="0" borderId="51" xfId="6" applyFont="1" applyBorder="1" applyAlignment="1">
      <alignment horizontal="center" vertical="center"/>
    </xf>
    <xf numFmtId="167" fontId="41" fillId="0" borderId="0" xfId="1" applyNumberFormat="1" applyFont="1" applyBorder="1" applyAlignment="1">
      <alignment vertical="center"/>
    </xf>
    <xf numFmtId="167" fontId="41" fillId="0" borderId="0" xfId="1" applyNumberFormat="1" applyFont="1" applyBorder="1" applyAlignment="1">
      <alignment horizontal="left" vertical="center"/>
    </xf>
    <xf numFmtId="167" fontId="41" fillId="0" borderId="51" xfId="1" applyNumberFormat="1" applyFont="1" applyBorder="1" applyAlignment="1">
      <alignment vertical="center"/>
    </xf>
    <xf numFmtId="0" fontId="33" fillId="0" borderId="52" xfId="6" applyFont="1" applyBorder="1" applyAlignment="1">
      <alignment horizontal="center" vertical="center"/>
    </xf>
    <xf numFmtId="0" fontId="33" fillId="0" borderId="0" xfId="6" applyFont="1" applyAlignment="1">
      <alignment horizontal="left" vertical="center"/>
    </xf>
    <xf numFmtId="0" fontId="41" fillId="0" borderId="52" xfId="6" applyFont="1" applyBorder="1" applyAlignment="1">
      <alignment horizontal="center" vertical="top" wrapText="1"/>
    </xf>
    <xf numFmtId="0" fontId="41" fillId="0" borderId="52" xfId="6" applyFont="1" applyBorder="1" applyAlignment="1">
      <alignment horizontal="center" vertical="center"/>
    </xf>
    <xf numFmtId="167" fontId="41" fillId="0" borderId="56" xfId="1" applyNumberFormat="1" applyFont="1" applyBorder="1"/>
    <xf numFmtId="167" fontId="41" fillId="0" borderId="56" xfId="1" applyNumberFormat="1" applyFont="1" applyBorder="1" applyAlignment="1">
      <alignment horizontal="left"/>
    </xf>
    <xf numFmtId="167" fontId="41" fillId="0" borderId="55" xfId="1" applyNumberFormat="1" applyFont="1" applyBorder="1"/>
    <xf numFmtId="0" fontId="41" fillId="0" borderId="51" xfId="6" applyFont="1" applyBorder="1" applyAlignment="1">
      <alignment horizontal="center"/>
    </xf>
    <xf numFmtId="0" fontId="41" fillId="0" borderId="51" xfId="6" applyFont="1" applyBorder="1" applyAlignment="1">
      <alignment horizontal="center" vertical="center" wrapText="1"/>
    </xf>
    <xf numFmtId="0" fontId="41" fillId="0" borderId="52" xfId="6" applyFont="1" applyBorder="1"/>
    <xf numFmtId="167" fontId="41" fillId="0" borderId="0" xfId="1" applyNumberFormat="1" applyFont="1" applyBorder="1"/>
    <xf numFmtId="167" fontId="41" fillId="0" borderId="0" xfId="1" applyNumberFormat="1" applyFont="1" applyBorder="1" applyAlignment="1">
      <alignment horizontal="left"/>
    </xf>
    <xf numFmtId="167" fontId="41" fillId="0" borderId="51" xfId="1" applyNumberFormat="1" applyFont="1" applyBorder="1"/>
    <xf numFmtId="0" fontId="41" fillId="0" borderId="0" xfId="6" applyFont="1" applyAlignment="1">
      <alignment vertical="center"/>
    </xf>
    <xf numFmtId="0" fontId="41" fillId="0" borderId="0" xfId="6" applyFont="1" applyAlignment="1">
      <alignment horizontal="center" vertical="top" wrapText="1"/>
    </xf>
    <xf numFmtId="0" fontId="41" fillId="0" borderId="0" xfId="6" applyFont="1" applyAlignment="1">
      <alignment horizontal="center"/>
    </xf>
    <xf numFmtId="0" fontId="41" fillId="0" borderId="0" xfId="6" applyFont="1"/>
    <xf numFmtId="165" fontId="42" fillId="0" borderId="61" xfId="1" applyFont="1" applyBorder="1" applyAlignment="1">
      <alignment horizontal="left" vertical="center"/>
    </xf>
    <xf numFmtId="165" fontId="42" fillId="0" borderId="58" xfId="1" applyFont="1" applyBorder="1" applyAlignment="1">
      <alignment horizontal="left" vertical="center"/>
    </xf>
    <xf numFmtId="165" fontId="42" fillId="0" borderId="60" xfId="1" applyFont="1" applyBorder="1" applyAlignment="1">
      <alignment horizontal="left" vertical="center"/>
    </xf>
    <xf numFmtId="0" fontId="47" fillId="0" borderId="92" xfId="16" applyFont="1" applyBorder="1" applyAlignment="1">
      <alignment horizontal="left" vertical="center" wrapText="1"/>
    </xf>
    <xf numFmtId="0" fontId="48" fillId="0" borderId="92" xfId="16" applyFont="1" applyBorder="1" applyAlignment="1">
      <alignment vertical="center" wrapText="1"/>
    </xf>
    <xf numFmtId="0" fontId="47" fillId="0" borderId="92" xfId="16" applyFont="1" applyBorder="1" applyAlignment="1">
      <alignment horizontal="center" vertical="center" wrapText="1"/>
    </xf>
    <xf numFmtId="49" fontId="8" fillId="0" borderId="92" xfId="16" applyNumberFormat="1" applyFont="1" applyBorder="1" applyAlignment="1">
      <alignment horizontal="center" vertical="center" wrapText="1"/>
    </xf>
    <xf numFmtId="0" fontId="47" fillId="0" borderId="86" xfId="16" applyFont="1" applyBorder="1" applyAlignment="1">
      <alignment horizontal="left"/>
    </xf>
    <xf numFmtId="0" fontId="48" fillId="0" borderId="86" xfId="16" applyFont="1" applyBorder="1" applyAlignment="1">
      <alignment horizontal="center"/>
    </xf>
    <xf numFmtId="0" fontId="47" fillId="0" borderId="92" xfId="16" applyFont="1" applyBorder="1" applyAlignment="1">
      <alignment horizontal="center"/>
    </xf>
    <xf numFmtId="0" fontId="47" fillId="0" borderId="86" xfId="16" applyFont="1" applyBorder="1"/>
    <xf numFmtId="0" fontId="47" fillId="0" borderId="87" xfId="16" applyFont="1" applyBorder="1"/>
    <xf numFmtId="0" fontId="47" fillId="0" borderId="86" xfId="16" applyFont="1" applyBorder="1" applyAlignment="1">
      <alignment vertical="center"/>
    </xf>
    <xf numFmtId="0" fontId="8" fillId="0" borderId="86" xfId="16" applyFont="1" applyBorder="1" applyAlignment="1">
      <alignment horizontal="center"/>
    </xf>
    <xf numFmtId="0" fontId="8" fillId="0" borderId="0" xfId="18" applyFont="1"/>
    <xf numFmtId="0" fontId="11" fillId="0" borderId="0" xfId="18" applyFont="1"/>
    <xf numFmtId="165" fontId="8" fillId="0" borderId="0" xfId="18" applyNumberFormat="1" applyFont="1"/>
    <xf numFmtId="0" fontId="6" fillId="0" borderId="0" xfId="0" applyFont="1" applyAlignment="1">
      <alignment vertical="center" wrapText="1"/>
    </xf>
    <xf numFmtId="0" fontId="7" fillId="0" borderId="4" xfId="0" applyFont="1" applyBorder="1" applyAlignment="1">
      <alignment horizontal="center" vertical="center" wrapText="1"/>
    </xf>
    <xf numFmtId="0" fontId="6" fillId="0" borderId="4" xfId="0" applyFont="1" applyBorder="1" applyAlignment="1">
      <alignment vertical="center" wrapText="1"/>
    </xf>
    <xf numFmtId="0" fontId="47" fillId="0" borderId="96" xfId="16" applyFont="1" applyBorder="1" applyAlignment="1">
      <alignment horizontal="left"/>
    </xf>
    <xf numFmtId="0" fontId="48" fillId="0" borderId="4" xfId="16" applyFont="1" applyBorder="1" applyAlignment="1">
      <alignment horizontal="center"/>
    </xf>
    <xf numFmtId="0" fontId="0" fillId="0" borderId="4" xfId="0" applyBorder="1" applyAlignment="1">
      <alignment horizontal="right" vertical="center"/>
    </xf>
    <xf numFmtId="0" fontId="33" fillId="0" borderId="59" xfId="6" applyFont="1" applyBorder="1" applyAlignment="1">
      <alignment horizontal="center" vertical="center"/>
    </xf>
    <xf numFmtId="0" fontId="0" fillId="0" borderId="4" xfId="0" applyBorder="1" applyAlignment="1">
      <alignment vertical="center"/>
    </xf>
    <xf numFmtId="165" fontId="48" fillId="0" borderId="92" xfId="17" applyFont="1" applyBorder="1" applyAlignment="1">
      <alignment vertical="center" wrapText="1"/>
    </xf>
    <xf numFmtId="0" fontId="33" fillId="0" borderId="55" xfId="6" applyFont="1" applyBorder="1" applyAlignment="1">
      <alignment horizontal="center" vertical="center"/>
    </xf>
    <xf numFmtId="0" fontId="33" fillId="0" borderId="57" xfId="6" applyFont="1" applyBorder="1" applyAlignment="1">
      <alignment vertical="center"/>
    </xf>
    <xf numFmtId="0" fontId="33" fillId="0" borderId="56" xfId="6" applyFont="1" applyBorder="1" applyAlignment="1">
      <alignment vertical="center"/>
    </xf>
    <xf numFmtId="0" fontId="33" fillId="0" borderId="97" xfId="6" applyFont="1" applyBorder="1" applyAlignment="1">
      <alignment horizontal="center"/>
    </xf>
    <xf numFmtId="0" fontId="33" fillId="0" borderId="51" xfId="6" applyFont="1" applyBorder="1" applyAlignment="1">
      <alignment horizontal="center"/>
    </xf>
    <xf numFmtId="167" fontId="33" fillId="0" borderId="97" xfId="1" applyNumberFormat="1" applyFont="1" applyBorder="1" applyAlignment="1">
      <alignment horizontal="center"/>
    </xf>
    <xf numFmtId="0" fontId="33" fillId="0" borderId="64" xfId="6" applyFont="1" applyBorder="1" applyAlignment="1">
      <alignment vertical="center"/>
    </xf>
    <xf numFmtId="0" fontId="33" fillId="0" borderId="5" xfId="6" applyFont="1" applyBorder="1" applyAlignment="1">
      <alignment vertical="center"/>
    </xf>
    <xf numFmtId="0" fontId="33" fillId="0" borderId="5" xfId="6" applyFont="1" applyBorder="1" applyAlignment="1">
      <alignment horizontal="center" vertical="center"/>
    </xf>
    <xf numFmtId="0" fontId="0" fillId="0" borderId="4" xfId="0" applyBorder="1" applyAlignment="1">
      <alignment horizontal="center" vertical="center"/>
    </xf>
    <xf numFmtId="0" fontId="41" fillId="0" borderId="91" xfId="6" applyFont="1" applyBorder="1" applyAlignment="1">
      <alignment vertical="center" wrapText="1"/>
    </xf>
    <xf numFmtId="20" fontId="41" fillId="0" borderId="91" xfId="11" quotePrefix="1" applyNumberFormat="1" applyFont="1" applyBorder="1" applyAlignment="1">
      <alignment horizontal="center" vertical="center"/>
    </xf>
    <xf numFmtId="165" fontId="41" fillId="0" borderId="91" xfId="1" applyFont="1" applyBorder="1" applyAlignment="1">
      <alignment horizontal="center" vertical="center" wrapText="1"/>
    </xf>
    <xf numFmtId="165" fontId="41" fillId="0" borderId="91" xfId="1" applyFont="1" applyBorder="1" applyAlignment="1">
      <alignment horizontal="center" vertical="center"/>
    </xf>
    <xf numFmtId="165" fontId="41" fillId="0" borderId="98" xfId="1" applyFont="1" applyBorder="1" applyAlignment="1">
      <alignment horizontal="center" vertical="center"/>
    </xf>
    <xf numFmtId="0" fontId="41" fillId="0" borderId="94" xfId="6" applyFont="1" applyBorder="1" applyAlignment="1">
      <alignment vertical="center" wrapText="1"/>
    </xf>
    <xf numFmtId="20" fontId="41" fillId="0" borderId="94" xfId="11" quotePrefix="1" applyNumberFormat="1" applyFont="1" applyBorder="1" applyAlignment="1">
      <alignment horizontal="center" vertical="center"/>
    </xf>
    <xf numFmtId="165" fontId="41" fillId="0" borderId="94" xfId="1" applyFont="1" applyBorder="1" applyAlignment="1">
      <alignment horizontal="center" vertical="center" wrapText="1"/>
    </xf>
    <xf numFmtId="165" fontId="41" fillId="0" borderId="94" xfId="1" applyFont="1" applyBorder="1" applyAlignment="1">
      <alignment horizontal="center" vertical="center"/>
    </xf>
    <xf numFmtId="165" fontId="41" fillId="0" borderId="100" xfId="1" applyFont="1" applyBorder="1" applyAlignment="1">
      <alignment horizontal="center" vertical="center"/>
    </xf>
    <xf numFmtId="20" fontId="41" fillId="0" borderId="8" xfId="11" quotePrefix="1" applyNumberFormat="1" applyFont="1" applyBorder="1" applyAlignment="1">
      <alignment horizontal="center" vertical="center"/>
    </xf>
    <xf numFmtId="165" fontId="41" fillId="0" borderId="8" xfId="1" applyFont="1" applyBorder="1" applyAlignment="1">
      <alignment horizontal="center" vertical="center"/>
    </xf>
    <xf numFmtId="165" fontId="41" fillId="0" borderId="101" xfId="1" applyFont="1" applyBorder="1" applyAlignment="1">
      <alignment horizontal="center" vertical="center"/>
    </xf>
    <xf numFmtId="0" fontId="41" fillId="0" borderId="4" xfId="0" applyFont="1" applyBorder="1" applyAlignment="1">
      <alignment vertical="center" wrapText="1"/>
    </xf>
    <xf numFmtId="165" fontId="41" fillId="0" borderId="95" xfId="1" applyFont="1" applyBorder="1" applyAlignment="1">
      <alignment horizontal="center" vertical="center" wrapText="1"/>
    </xf>
    <xf numFmtId="0" fontId="41" fillId="0" borderId="8" xfId="0" applyFont="1" applyBorder="1" applyAlignment="1">
      <alignment vertical="center" wrapText="1"/>
    </xf>
    <xf numFmtId="0" fontId="41" fillId="0" borderId="106" xfId="6" applyFont="1" applyBorder="1" applyAlignment="1">
      <alignment vertical="center" wrapText="1"/>
    </xf>
    <xf numFmtId="20" fontId="41" fillId="0" borderId="106" xfId="11" quotePrefix="1" applyNumberFormat="1" applyFont="1" applyBorder="1" applyAlignment="1">
      <alignment horizontal="center" vertical="center"/>
    </xf>
    <xf numFmtId="165" fontId="41" fillId="0" borderId="106" xfId="1" applyFont="1" applyBorder="1" applyAlignment="1">
      <alignment horizontal="center" vertical="center"/>
    </xf>
    <xf numFmtId="165" fontId="41" fillId="0" borderId="107" xfId="1" applyFont="1" applyBorder="1" applyAlignment="1">
      <alignment horizontal="center" vertical="center"/>
    </xf>
    <xf numFmtId="15" fontId="41" fillId="0" borderId="105" xfId="0" quotePrefix="1" applyNumberFormat="1" applyFont="1" applyBorder="1" applyAlignment="1">
      <alignment horizontal="center" vertical="center" wrapText="1"/>
    </xf>
    <xf numFmtId="0" fontId="6" fillId="0" borderId="64" xfId="6" applyBorder="1" applyAlignment="1">
      <alignment horizontal="center" vertical="center" wrapText="1"/>
    </xf>
    <xf numFmtId="0" fontId="6" fillId="0" borderId="5" xfId="6" applyBorder="1" applyAlignment="1">
      <alignment horizontal="center" vertical="center" wrapText="1"/>
    </xf>
    <xf numFmtId="0" fontId="6" fillId="0" borderId="6" xfId="6" applyBorder="1" applyAlignment="1">
      <alignment horizontal="center" vertical="center" wrapText="1"/>
    </xf>
    <xf numFmtId="0" fontId="6" fillId="0" borderId="66" xfId="6" applyBorder="1" applyAlignment="1">
      <alignment horizontal="center" vertical="center" wrapText="1"/>
    </xf>
    <xf numFmtId="0" fontId="6" fillId="0" borderId="71" xfId="6" applyBorder="1" applyAlignment="1">
      <alignment horizontal="center" vertical="center" wrapText="1"/>
    </xf>
    <xf numFmtId="0" fontId="6" fillId="0" borderId="70" xfId="6" applyBorder="1" applyAlignment="1">
      <alignment horizontal="center" vertical="center" wrapText="1"/>
    </xf>
    <xf numFmtId="0" fontId="6" fillId="0" borderId="9" xfId="6" applyBorder="1" applyAlignment="1">
      <alignment horizontal="center" vertical="center" wrapText="1"/>
    </xf>
    <xf numFmtId="0" fontId="6" fillId="0" borderId="79" xfId="6" applyBorder="1" applyAlignment="1">
      <alignment horizontal="center" vertical="center" wrapText="1"/>
    </xf>
    <xf numFmtId="0" fontId="6" fillId="0" borderId="79" xfId="6" applyBorder="1" applyAlignment="1">
      <alignment vertical="center" wrapText="1"/>
    </xf>
    <xf numFmtId="0" fontId="6" fillId="0" borderId="78" xfId="6" applyBorder="1" applyAlignment="1">
      <alignment vertical="center" wrapText="1"/>
    </xf>
    <xf numFmtId="0" fontId="7" fillId="0" borderId="7" xfId="6" applyFont="1" applyBorder="1" applyAlignment="1">
      <alignment horizontal="center" vertical="center" wrapText="1"/>
    </xf>
    <xf numFmtId="0" fontId="7" fillId="0" borderId="5" xfId="6" applyFont="1" applyBorder="1" applyAlignment="1">
      <alignment horizontal="center" vertical="center" wrapText="1"/>
    </xf>
    <xf numFmtId="0" fontId="7" fillId="0" borderId="63" xfId="6" applyFont="1" applyBorder="1" applyAlignment="1">
      <alignment horizontal="center" vertical="center" wrapText="1"/>
    </xf>
    <xf numFmtId="0" fontId="7" fillId="0" borderId="72" xfId="6" applyFont="1" applyBorder="1" applyAlignment="1">
      <alignment horizontal="center" vertical="center" wrapText="1"/>
    </xf>
    <xf numFmtId="0" fontId="7" fillId="0" borderId="71" xfId="6" applyFont="1" applyBorder="1" applyAlignment="1">
      <alignment horizontal="center" vertical="center" wrapText="1"/>
    </xf>
    <xf numFmtId="0" fontId="7" fillId="0" borderId="65" xfId="6" applyFont="1" applyBorder="1" applyAlignment="1">
      <alignment horizontal="center" vertical="center" wrapText="1"/>
    </xf>
    <xf numFmtId="0" fontId="6" fillId="0" borderId="9" xfId="6" applyBorder="1" applyAlignment="1">
      <alignment horizontal="center" vertical="center"/>
    </xf>
    <xf numFmtId="0" fontId="6" fillId="0" borderId="79" xfId="6" applyBorder="1" applyAlignment="1">
      <alignment horizontal="center" vertical="center"/>
    </xf>
    <xf numFmtId="0" fontId="6" fillId="0" borderId="78" xfId="6" applyBorder="1" applyAlignment="1">
      <alignment horizontal="center" vertical="center"/>
    </xf>
    <xf numFmtId="0" fontId="6" fillId="0" borderId="52" xfId="6" applyBorder="1" applyAlignment="1">
      <alignment horizontal="center" vertical="center" wrapText="1"/>
    </xf>
    <xf numFmtId="0" fontId="6" fillId="0" borderId="0" xfId="6" applyAlignment="1">
      <alignment vertical="center" wrapText="1"/>
    </xf>
    <xf numFmtId="0" fontId="6" fillId="0" borderId="66" xfId="6" applyBorder="1" applyAlignment="1">
      <alignment vertical="center" wrapText="1"/>
    </xf>
    <xf numFmtId="0" fontId="6" fillId="0" borderId="71" xfId="6" applyBorder="1" applyAlignment="1">
      <alignment vertical="center" wrapText="1"/>
    </xf>
    <xf numFmtId="0" fontId="6" fillId="0" borderId="3" xfId="6" applyBorder="1" applyAlignment="1">
      <alignment wrapText="1"/>
    </xf>
    <xf numFmtId="0" fontId="6" fillId="0" borderId="0" xfId="6" applyAlignment="1">
      <alignment wrapText="1"/>
    </xf>
    <xf numFmtId="0" fontId="6" fillId="0" borderId="51" xfId="6" applyBorder="1" applyAlignment="1">
      <alignment wrapText="1"/>
    </xf>
    <xf numFmtId="0" fontId="6" fillId="0" borderId="72" xfId="6" applyBorder="1" applyAlignment="1">
      <alignment wrapText="1"/>
    </xf>
    <xf numFmtId="0" fontId="6" fillId="0" borderId="71" xfId="6" applyBorder="1" applyAlignment="1">
      <alignment wrapText="1"/>
    </xf>
    <xf numFmtId="0" fontId="6" fillId="0" borderId="65" xfId="6" applyBorder="1" applyAlignment="1">
      <alignment wrapText="1"/>
    </xf>
    <xf numFmtId="0" fontId="6" fillId="0" borderId="0" xfId="6" applyAlignment="1">
      <alignment horizontal="center" vertical="center" wrapText="1"/>
    </xf>
    <xf numFmtId="0" fontId="6" fillId="0" borderId="2" xfId="6" applyBorder="1" applyAlignment="1">
      <alignment horizontal="center" vertical="center" wrapText="1"/>
    </xf>
    <xf numFmtId="0" fontId="6" fillId="0" borderId="78" xfId="6" applyBorder="1" applyAlignment="1">
      <alignment horizontal="center" vertical="center" wrapText="1"/>
    </xf>
    <xf numFmtId="0" fontId="6" fillId="0" borderId="5" xfId="6" applyBorder="1" applyAlignment="1">
      <alignment vertical="center" wrapText="1"/>
    </xf>
    <xf numFmtId="0" fontId="6" fillId="0" borderId="6" xfId="6" applyBorder="1" applyAlignment="1">
      <alignment vertical="center" wrapText="1"/>
    </xf>
    <xf numFmtId="0" fontId="6" fillId="0" borderId="70" xfId="6" applyBorder="1" applyAlignment="1">
      <alignment vertical="center" wrapText="1"/>
    </xf>
    <xf numFmtId="0" fontId="6" fillId="0" borderId="7" xfId="6" applyBorder="1" applyAlignment="1">
      <alignment vertical="justify" wrapText="1"/>
    </xf>
    <xf numFmtId="0" fontId="6" fillId="0" borderId="5" xfId="6" applyBorder="1" applyAlignment="1">
      <alignment vertical="justify" wrapText="1"/>
    </xf>
    <xf numFmtId="0" fontId="6" fillId="0" borderId="6" xfId="6" applyBorder="1" applyAlignment="1">
      <alignment vertical="justify" wrapText="1"/>
    </xf>
    <xf numFmtId="0" fontId="6" fillId="0" borderId="72" xfId="6" applyBorder="1" applyAlignment="1">
      <alignment vertical="justify" wrapText="1"/>
    </xf>
    <xf numFmtId="0" fontId="6" fillId="0" borderId="71" xfId="6" applyBorder="1" applyAlignment="1">
      <alignment vertical="justify" wrapText="1"/>
    </xf>
    <xf numFmtId="0" fontId="6" fillId="0" borderId="70" xfId="6" applyBorder="1" applyAlignment="1">
      <alignment vertical="justify" wrapText="1"/>
    </xf>
    <xf numFmtId="0" fontId="6" fillId="0" borderId="5" xfId="6" applyBorder="1" applyAlignment="1">
      <alignment wrapText="1"/>
    </xf>
    <xf numFmtId="0" fontId="6" fillId="0" borderId="63" xfId="6" applyBorder="1" applyAlignment="1">
      <alignment wrapText="1"/>
    </xf>
    <xf numFmtId="0" fontId="6" fillId="0" borderId="1" xfId="6" applyBorder="1" applyAlignment="1">
      <alignment wrapText="1"/>
    </xf>
    <xf numFmtId="0" fontId="6" fillId="0" borderId="53" xfId="6" applyBorder="1" applyAlignment="1">
      <alignment wrapText="1"/>
    </xf>
    <xf numFmtId="0" fontId="6" fillId="0" borderId="69" xfId="6" applyBorder="1" applyAlignment="1">
      <alignment vertical="justify" wrapText="1"/>
    </xf>
    <xf numFmtId="0" fontId="6" fillId="0" borderId="68" xfId="6" applyBorder="1" applyAlignment="1">
      <alignment vertical="justify" wrapText="1"/>
    </xf>
    <xf numFmtId="0" fontId="6" fillId="0" borderId="67" xfId="6" applyBorder="1" applyAlignment="1">
      <alignment vertical="justify" wrapText="1"/>
    </xf>
    <xf numFmtId="0" fontId="6" fillId="0" borderId="54" xfId="6" applyBorder="1" applyAlignment="1">
      <alignment vertical="center" wrapText="1"/>
    </xf>
    <xf numFmtId="0" fontId="6" fillId="0" borderId="1" xfId="6" applyBorder="1" applyAlignment="1">
      <alignment vertical="center" wrapText="1"/>
    </xf>
    <xf numFmtId="0" fontId="6" fillId="0" borderId="77" xfId="6" applyBorder="1" applyAlignment="1">
      <alignment vertical="center" wrapText="1"/>
    </xf>
    <xf numFmtId="0" fontId="6" fillId="0" borderId="54" xfId="6" applyBorder="1" applyAlignment="1">
      <alignment horizontal="center" vertical="center" wrapText="1"/>
    </xf>
    <xf numFmtId="0" fontId="6" fillId="0" borderId="1" xfId="6" applyBorder="1" applyAlignment="1">
      <alignment horizontal="center" vertical="center" wrapText="1"/>
    </xf>
    <xf numFmtId="0" fontId="6" fillId="0" borderId="77" xfId="6" applyBorder="1" applyAlignment="1">
      <alignment horizontal="center" vertical="center" wrapText="1"/>
    </xf>
    <xf numFmtId="0" fontId="6" fillId="0" borderId="7" xfId="6" applyBorder="1" applyAlignment="1">
      <alignment horizontal="center" vertical="center" wrapText="1"/>
    </xf>
    <xf numFmtId="0" fontId="6" fillId="0" borderId="63" xfId="6" applyBorder="1" applyAlignment="1">
      <alignment horizontal="center" vertical="center" wrapText="1"/>
    </xf>
    <xf numFmtId="0" fontId="6" fillId="0" borderId="76" xfId="6" applyBorder="1" applyAlignment="1">
      <alignment horizontal="center" vertical="center" wrapText="1"/>
    </xf>
    <xf numFmtId="0" fontId="6" fillId="0" borderId="53" xfId="6" applyBorder="1" applyAlignment="1">
      <alignment horizontal="center" vertical="center" wrapText="1"/>
    </xf>
    <xf numFmtId="0" fontId="33" fillId="0" borderId="0" xfId="6" applyFont="1" applyAlignment="1">
      <alignment horizontal="center" vertical="center"/>
    </xf>
    <xf numFmtId="0" fontId="6" fillId="0" borderId="6" xfId="6" applyBorder="1" applyAlignment="1">
      <alignment wrapText="1"/>
    </xf>
    <xf numFmtId="0" fontId="6" fillId="0" borderId="66" xfId="6" applyBorder="1" applyAlignment="1">
      <alignment wrapText="1"/>
    </xf>
    <xf numFmtId="0" fontId="6" fillId="0" borderId="70" xfId="6" applyBorder="1" applyAlignment="1">
      <alignment wrapText="1"/>
    </xf>
    <xf numFmtId="0" fontId="6" fillId="0" borderId="56" xfId="6" applyBorder="1" applyAlignment="1">
      <alignment wrapText="1"/>
    </xf>
    <xf numFmtId="0" fontId="6" fillId="0" borderId="55" xfId="6" applyBorder="1" applyAlignment="1">
      <alignment wrapText="1"/>
    </xf>
    <xf numFmtId="0" fontId="6" fillId="0" borderId="2" xfId="6" applyBorder="1" applyAlignment="1">
      <alignment wrapText="1"/>
    </xf>
    <xf numFmtId="0" fontId="6" fillId="0" borderId="3" xfId="6" applyBorder="1" applyAlignment="1">
      <alignment vertical="justify" wrapText="1"/>
    </xf>
    <xf numFmtId="0" fontId="6" fillId="0" borderId="0" xfId="6" applyAlignment="1">
      <alignment vertical="justify" wrapText="1"/>
    </xf>
    <xf numFmtId="0" fontId="6" fillId="0" borderId="2" xfId="6" applyBorder="1" applyAlignment="1">
      <alignment vertical="justify" wrapText="1"/>
    </xf>
    <xf numFmtId="0" fontId="6" fillId="0" borderId="3" xfId="6" applyBorder="1" applyAlignment="1">
      <alignment horizontal="left" vertical="justify" wrapText="1"/>
    </xf>
    <xf numFmtId="0" fontId="6" fillId="0" borderId="7" xfId="6" applyBorder="1" applyAlignment="1">
      <alignment wrapText="1"/>
    </xf>
    <xf numFmtId="0" fontId="6" fillId="0" borderId="52" xfId="6" applyBorder="1" applyAlignment="1">
      <alignment wrapText="1"/>
    </xf>
    <xf numFmtId="0" fontId="6" fillId="0" borderId="64" xfId="6" applyBorder="1" applyAlignment="1">
      <alignment horizontal="center" vertical="justify"/>
    </xf>
    <xf numFmtId="0" fontId="6" fillId="0" borderId="5" xfId="6" applyBorder="1" applyAlignment="1">
      <alignment horizontal="center" vertical="justify"/>
    </xf>
    <xf numFmtId="0" fontId="6" fillId="0" borderId="63" xfId="6" applyBorder="1" applyAlignment="1">
      <alignment horizontal="center" vertical="justify"/>
    </xf>
    <xf numFmtId="0" fontId="6" fillId="0" borderId="52" xfId="6" applyBorder="1" applyAlignment="1">
      <alignment horizontal="center" vertical="justify"/>
    </xf>
    <xf numFmtId="0" fontId="6" fillId="0" borderId="0" xfId="6" applyAlignment="1">
      <alignment horizontal="center" vertical="justify"/>
    </xf>
    <xf numFmtId="0" fontId="6" fillId="0" borderId="51" xfId="6" applyBorder="1" applyAlignment="1">
      <alignment horizontal="center" vertical="justify"/>
    </xf>
    <xf numFmtId="0" fontId="6" fillId="0" borderId="66" xfId="6" applyBorder="1" applyAlignment="1">
      <alignment horizontal="center" vertical="justify"/>
    </xf>
    <xf numFmtId="0" fontId="6" fillId="0" borderId="71" xfId="6" applyBorder="1" applyAlignment="1">
      <alignment horizontal="center" vertical="justify"/>
    </xf>
    <xf numFmtId="0" fontId="6" fillId="0" borderId="65" xfId="6" applyBorder="1" applyAlignment="1">
      <alignment horizontal="center" vertical="justify"/>
    </xf>
    <xf numFmtId="0" fontId="6" fillId="0" borderId="3" xfId="6" applyBorder="1" applyAlignment="1">
      <alignment horizontal="center" vertical="center" wrapText="1"/>
    </xf>
    <xf numFmtId="0" fontId="6" fillId="0" borderId="51" xfId="6" applyBorder="1" applyAlignment="1">
      <alignment horizontal="center" vertical="center" wrapText="1"/>
    </xf>
    <xf numFmtId="0" fontId="6" fillId="0" borderId="72" xfId="6" applyBorder="1" applyAlignment="1">
      <alignment horizontal="center" vertical="center" wrapText="1"/>
    </xf>
    <xf numFmtId="0" fontId="6" fillId="0" borderId="65" xfId="6" applyBorder="1" applyAlignment="1">
      <alignment horizontal="center" vertical="center" wrapText="1"/>
    </xf>
    <xf numFmtId="0" fontId="7" fillId="0" borderId="74" xfId="6" applyFont="1" applyBorder="1" applyAlignment="1">
      <alignment wrapText="1"/>
    </xf>
    <xf numFmtId="0" fontId="6" fillId="0" borderId="76" xfId="6" applyBorder="1" applyAlignment="1">
      <alignment wrapText="1"/>
    </xf>
    <xf numFmtId="0" fontId="8" fillId="0" borderId="0" xfId="8" applyFont="1" applyAlignment="1">
      <alignment horizontal="left" vertical="top" wrapText="1"/>
    </xf>
    <xf numFmtId="0" fontId="8" fillId="0" borderId="2" xfId="8" applyFont="1" applyBorder="1" applyAlignment="1">
      <alignment horizontal="left" vertical="top" wrapText="1"/>
    </xf>
    <xf numFmtId="0" fontId="8" fillId="0" borderId="0" xfId="8" applyFont="1" applyAlignment="1">
      <alignment horizontal="left" wrapText="1"/>
    </xf>
    <xf numFmtId="0" fontId="8" fillId="0" borderId="2" xfId="8" applyFont="1" applyBorder="1" applyAlignment="1">
      <alignment horizontal="left" wrapText="1"/>
    </xf>
    <xf numFmtId="0" fontId="6" fillId="0" borderId="81" xfId="6" applyBorder="1" applyAlignment="1">
      <alignment horizontal="center" vertical="center" wrapText="1"/>
    </xf>
    <xf numFmtId="0" fontId="6" fillId="0" borderId="4" xfId="6" applyBorder="1" applyAlignment="1">
      <alignment horizontal="center" vertical="center" wrapText="1"/>
    </xf>
    <xf numFmtId="0" fontId="6" fillId="0" borderId="4" xfId="6" applyBorder="1" applyAlignment="1">
      <alignment horizontal="center" wrapText="1"/>
    </xf>
    <xf numFmtId="0" fontId="30" fillId="0" borderId="0" xfId="6" applyFont="1" applyAlignment="1">
      <alignment horizontal="center"/>
    </xf>
    <xf numFmtId="0" fontId="7" fillId="0" borderId="0" xfId="6" applyFont="1" applyAlignment="1">
      <alignment horizontal="center"/>
    </xf>
    <xf numFmtId="0" fontId="7" fillId="0" borderId="51" xfId="6" applyFont="1" applyBorder="1" applyAlignment="1">
      <alignment horizontal="center"/>
    </xf>
    <xf numFmtId="0" fontId="6" fillId="0" borderId="0" xfId="6" applyAlignment="1">
      <alignment horizontal="left" vertical="center"/>
    </xf>
    <xf numFmtId="0" fontId="6" fillId="0" borderId="51" xfId="6" applyBorder="1" applyAlignment="1">
      <alignment horizontal="left" vertical="center"/>
    </xf>
    <xf numFmtId="0" fontId="7" fillId="0" borderId="89" xfId="6" applyFont="1" applyBorder="1" applyAlignment="1">
      <alignment horizontal="center" wrapText="1"/>
    </xf>
    <xf numFmtId="0" fontId="7" fillId="0" borderId="79" xfId="6" applyFont="1" applyBorder="1" applyAlignment="1">
      <alignment horizontal="center"/>
    </xf>
    <xf numFmtId="0" fontId="7" fillId="0" borderId="10" xfId="6" applyFont="1" applyBorder="1" applyAlignment="1">
      <alignment horizontal="center"/>
    </xf>
    <xf numFmtId="0" fontId="6" fillId="0" borderId="0" xfId="6" applyAlignment="1">
      <alignment horizontal="center"/>
    </xf>
    <xf numFmtId="0" fontId="6" fillId="0" borderId="4" xfId="6" applyBorder="1" applyAlignment="1">
      <alignment horizontal="center"/>
    </xf>
    <xf numFmtId="0" fontId="6" fillId="0" borderId="90" xfId="6" applyBorder="1" applyAlignment="1">
      <alignment horizontal="center"/>
    </xf>
    <xf numFmtId="165" fontId="7" fillId="0" borderId="9" xfId="6" applyNumberFormat="1" applyFont="1" applyBorder="1" applyAlignment="1">
      <alignment horizontal="center" wrapText="1"/>
    </xf>
    <xf numFmtId="165" fontId="7" fillId="0" borderId="79" xfId="6" applyNumberFormat="1" applyFont="1" applyBorder="1" applyAlignment="1">
      <alignment horizontal="center" wrapText="1"/>
    </xf>
    <xf numFmtId="165" fontId="7" fillId="0" borderId="78" xfId="6" applyNumberFormat="1" applyFont="1" applyBorder="1" applyAlignment="1">
      <alignment horizontal="center" wrapText="1"/>
    </xf>
    <xf numFmtId="49" fontId="6" fillId="0" borderId="83" xfId="6" applyNumberFormat="1" applyBorder="1" applyAlignment="1">
      <alignment horizontal="center" vertical="center" wrapText="1"/>
    </xf>
    <xf numFmtId="49" fontId="6" fillId="0" borderId="74" xfId="6" applyNumberFormat="1" applyBorder="1" applyAlignment="1">
      <alignment horizontal="center" vertical="center" wrapText="1"/>
    </xf>
    <xf numFmtId="49" fontId="6" fillId="0" borderId="73" xfId="6" applyNumberFormat="1" applyBorder="1" applyAlignment="1">
      <alignment horizontal="center" vertical="center" wrapText="1"/>
    </xf>
    <xf numFmtId="49" fontId="6" fillId="0" borderId="82" xfId="6" applyNumberFormat="1" applyBorder="1" applyAlignment="1">
      <alignment horizontal="center" vertical="center" wrapText="1"/>
    </xf>
    <xf numFmtId="49" fontId="6" fillId="0" borderId="74" xfId="6" applyNumberFormat="1" applyBorder="1" applyAlignment="1">
      <alignment horizontal="center"/>
    </xf>
    <xf numFmtId="49" fontId="6" fillId="0" borderId="73" xfId="6" applyNumberFormat="1" applyBorder="1" applyAlignment="1">
      <alignment horizontal="center"/>
    </xf>
    <xf numFmtId="165" fontId="6" fillId="0" borderId="3" xfId="1" quotePrefix="1" applyFont="1" applyBorder="1" applyAlignment="1">
      <alignment horizontal="center" vertical="top" wrapText="1"/>
    </xf>
    <xf numFmtId="165" fontId="6" fillId="0" borderId="0" xfId="1" quotePrefix="1" applyFont="1" applyBorder="1" applyAlignment="1">
      <alignment horizontal="center" vertical="top" wrapText="1"/>
    </xf>
    <xf numFmtId="165" fontId="6" fillId="0" borderId="51" xfId="1" quotePrefix="1" applyFont="1" applyBorder="1" applyAlignment="1">
      <alignment horizontal="center" vertical="top" wrapText="1"/>
    </xf>
    <xf numFmtId="0" fontId="6" fillId="0" borderId="3" xfId="6" applyBorder="1" applyAlignment="1">
      <alignment horizontal="center" vertical="top" wrapText="1"/>
    </xf>
    <xf numFmtId="0" fontId="6" fillId="0" borderId="0" xfId="6" applyAlignment="1">
      <alignment horizontal="center" vertical="top" wrapText="1"/>
    </xf>
    <xf numFmtId="0" fontId="6" fillId="0" borderId="2" xfId="6" applyBorder="1" applyAlignment="1">
      <alignment horizontal="center" vertical="top" wrapText="1"/>
    </xf>
    <xf numFmtId="49" fontId="6" fillId="0" borderId="80" xfId="6" applyNumberFormat="1" applyBorder="1" applyAlignment="1">
      <alignment horizontal="center" vertical="center" wrapText="1"/>
    </xf>
    <xf numFmtId="168" fontId="6" fillId="0" borderId="3" xfId="6" quotePrefix="1" applyNumberFormat="1" applyBorder="1" applyAlignment="1">
      <alignment horizontal="center" vertical="top" wrapText="1"/>
    </xf>
    <xf numFmtId="168" fontId="6" fillId="0" borderId="0" xfId="6" quotePrefix="1" applyNumberFormat="1" applyAlignment="1">
      <alignment horizontal="center" vertical="top" wrapText="1"/>
    </xf>
    <xf numFmtId="168" fontId="6" fillId="0" borderId="2" xfId="6" quotePrefix="1" applyNumberFormat="1" applyBorder="1" applyAlignment="1">
      <alignment horizontal="center" vertical="top" wrapText="1"/>
    </xf>
    <xf numFmtId="0" fontId="6" fillId="0" borderId="64" xfId="6" applyBorder="1" applyAlignment="1">
      <alignment horizontal="center" vertical="top" wrapText="1"/>
    </xf>
    <xf numFmtId="0" fontId="6" fillId="0" borderId="5" xfId="6" applyBorder="1" applyAlignment="1">
      <alignment horizontal="center" vertical="top" wrapText="1"/>
    </xf>
    <xf numFmtId="0" fontId="6" fillId="0" borderId="6" xfId="6" applyBorder="1" applyAlignment="1">
      <alignment horizontal="center" vertical="top" wrapText="1"/>
    </xf>
    <xf numFmtId="49" fontId="7" fillId="0" borderId="3" xfId="6" applyNumberFormat="1" applyFont="1" applyBorder="1" applyAlignment="1">
      <alignment horizontal="center" vertical="center" wrapText="1"/>
    </xf>
    <xf numFmtId="49" fontId="7" fillId="0" borderId="0" xfId="6" applyNumberFormat="1" applyFont="1" applyAlignment="1">
      <alignment horizontal="center" vertical="center" wrapText="1"/>
    </xf>
    <xf numFmtId="49" fontId="7" fillId="0" borderId="2" xfId="6" applyNumberFormat="1" applyFont="1" applyBorder="1" applyAlignment="1">
      <alignment horizontal="center" vertical="center" wrapText="1"/>
    </xf>
    <xf numFmtId="0" fontId="7" fillId="0" borderId="57" xfId="6" applyFont="1" applyBorder="1" applyAlignment="1">
      <alignment vertical="center" wrapText="1"/>
    </xf>
    <xf numFmtId="0" fontId="7" fillId="0" borderId="56" xfId="6" applyFont="1" applyBorder="1" applyAlignment="1">
      <alignment vertical="center" wrapText="1"/>
    </xf>
    <xf numFmtId="0" fontId="7" fillId="0" borderId="85" xfId="6" applyFont="1" applyBorder="1" applyAlignment="1">
      <alignment vertical="center" wrapText="1"/>
    </xf>
    <xf numFmtId="0" fontId="7" fillId="0" borderId="52" xfId="6" applyFont="1" applyBorder="1" applyAlignment="1">
      <alignment vertical="center" wrapText="1"/>
    </xf>
    <xf numFmtId="0" fontId="7" fillId="0" borderId="0" xfId="6" applyFont="1" applyAlignment="1">
      <alignment vertical="center" wrapText="1"/>
    </xf>
    <xf numFmtId="0" fontId="7" fillId="0" borderId="2" xfId="6" applyFont="1" applyBorder="1" applyAlignment="1">
      <alignment vertical="center" wrapText="1"/>
    </xf>
    <xf numFmtId="0" fontId="6" fillId="0" borderId="84" xfId="6" applyBorder="1" applyAlignment="1">
      <alignment horizontal="left"/>
    </xf>
    <xf numFmtId="0" fontId="6" fillId="0" borderId="56" xfId="6" applyBorder="1" applyAlignment="1">
      <alignment horizontal="left"/>
    </xf>
    <xf numFmtId="0" fontId="6" fillId="0" borderId="55" xfId="6" applyBorder="1" applyAlignment="1">
      <alignment horizontal="left"/>
    </xf>
    <xf numFmtId="0" fontId="7" fillId="0" borderId="64" xfId="6" applyFont="1" applyBorder="1" applyAlignment="1">
      <alignment horizontal="left" vertical="center" wrapText="1"/>
    </xf>
    <xf numFmtId="0" fontId="7" fillId="0" borderId="5" xfId="6" applyFont="1" applyBorder="1" applyAlignment="1">
      <alignment horizontal="left" vertical="center" wrapText="1"/>
    </xf>
    <xf numFmtId="0" fontId="7" fillId="0" borderId="6" xfId="6" applyFont="1" applyBorder="1" applyAlignment="1">
      <alignment horizontal="left" vertical="center" wrapText="1"/>
    </xf>
    <xf numFmtId="0" fontId="7" fillId="0" borderId="7" xfId="6" applyFont="1" applyBorder="1" applyAlignment="1">
      <alignment horizontal="justify" wrapText="1"/>
    </xf>
    <xf numFmtId="0" fontId="7" fillId="0" borderId="5" xfId="6" applyFont="1" applyBorder="1" applyAlignment="1">
      <alignment horizontal="justify" wrapText="1"/>
    </xf>
    <xf numFmtId="0" fontId="7" fillId="0" borderId="63" xfId="6" applyFont="1" applyBorder="1" applyAlignment="1">
      <alignment horizontal="justify" wrapText="1"/>
    </xf>
    <xf numFmtId="0" fontId="6" fillId="0" borderId="5" xfId="6" applyBorder="1" applyAlignment="1">
      <alignment horizontal="left" vertical="center" wrapText="1"/>
    </xf>
    <xf numFmtId="0" fontId="6" fillId="0" borderId="0" xfId="6" applyAlignment="1">
      <alignment horizontal="left" vertical="center" wrapText="1"/>
    </xf>
    <xf numFmtId="0" fontId="6" fillId="0" borderId="2" xfId="6" applyBorder="1" applyAlignment="1">
      <alignment horizontal="left" vertical="center" wrapText="1"/>
    </xf>
    <xf numFmtId="0" fontId="49" fillId="0" borderId="0" xfId="6" quotePrefix="1" applyFont="1" applyAlignment="1">
      <alignment vertical="center" wrapText="1"/>
    </xf>
    <xf numFmtId="0" fontId="49" fillId="0" borderId="0" xfId="6" applyFont="1" applyAlignment="1">
      <alignment vertical="center" wrapText="1"/>
    </xf>
    <xf numFmtId="0" fontId="6" fillId="0" borderId="0" xfId="6"/>
    <xf numFmtId="0" fontId="7" fillId="0" borderId="0" xfId="6" applyFont="1" applyAlignment="1">
      <alignment horizontal="left" vertical="center" wrapText="1"/>
    </xf>
    <xf numFmtId="0" fontId="7" fillId="0" borderId="0" xfId="6" applyFont="1" applyAlignment="1">
      <alignment wrapText="1"/>
    </xf>
    <xf numFmtId="0" fontId="6" fillId="0" borderId="1" xfId="6" applyBorder="1"/>
    <xf numFmtId="0" fontId="7" fillId="0" borderId="1" xfId="6" applyFont="1" applyBorder="1" applyAlignment="1">
      <alignment horizontal="left" wrapText="1"/>
    </xf>
    <xf numFmtId="0" fontId="7" fillId="0" borderId="54" xfId="6" applyFont="1" applyBorder="1" applyAlignment="1">
      <alignment vertical="center" wrapText="1"/>
    </xf>
    <xf numFmtId="0" fontId="7" fillId="0" borderId="1" xfId="6" applyFont="1" applyBorder="1" applyAlignment="1">
      <alignment vertical="center" wrapText="1"/>
    </xf>
    <xf numFmtId="0" fontId="7" fillId="0" borderId="77" xfId="6" applyFont="1" applyBorder="1" applyAlignment="1">
      <alignment vertical="center" wrapText="1"/>
    </xf>
    <xf numFmtId="0" fontId="6" fillId="0" borderId="84" xfId="6" applyBorder="1" applyAlignment="1">
      <alignment horizontal="center" wrapText="1"/>
    </xf>
    <xf numFmtId="0" fontId="7" fillId="0" borderId="84" xfId="6" applyFont="1" applyBorder="1" applyAlignment="1">
      <alignment vertical="center" wrapText="1"/>
    </xf>
    <xf numFmtId="0" fontId="7" fillId="0" borderId="3" xfId="6" applyFont="1" applyBorder="1" applyAlignment="1">
      <alignment vertical="center" wrapText="1"/>
    </xf>
    <xf numFmtId="0" fontId="6" fillId="0" borderId="84" xfId="6" applyBorder="1" applyAlignment="1">
      <alignment wrapText="1"/>
    </xf>
    <xf numFmtId="0" fontId="6" fillId="0" borderId="85" xfId="6" applyBorder="1" applyAlignment="1">
      <alignment wrapText="1"/>
    </xf>
    <xf numFmtId="0" fontId="6" fillId="0" borderId="0" xfId="6" applyAlignment="1">
      <alignment horizontal="center" wrapText="1"/>
    </xf>
    <xf numFmtId="165" fontId="6" fillId="0" borderId="3" xfId="1" quotePrefix="1" applyFont="1" applyBorder="1" applyAlignment="1">
      <alignment horizontal="center" wrapText="1"/>
    </xf>
    <xf numFmtId="165" fontId="6" fillId="0" borderId="0" xfId="1" quotePrefix="1" applyFont="1" applyBorder="1" applyAlignment="1">
      <alignment horizontal="center" wrapText="1"/>
    </xf>
    <xf numFmtId="165" fontId="6" fillId="0" borderId="51" xfId="1" quotePrefix="1" applyFont="1" applyBorder="1" applyAlignment="1">
      <alignment horizontal="center" wrapText="1"/>
    </xf>
    <xf numFmtId="168" fontId="6" fillId="0" borderId="3" xfId="6" quotePrefix="1" applyNumberFormat="1" applyBorder="1" applyAlignment="1">
      <alignment horizontal="center" wrapText="1"/>
    </xf>
    <xf numFmtId="168" fontId="6" fillId="0" borderId="0" xfId="6" quotePrefix="1" applyNumberFormat="1" applyAlignment="1">
      <alignment horizontal="center" wrapText="1"/>
    </xf>
    <xf numFmtId="168" fontId="6" fillId="0" borderId="2" xfId="6" quotePrefix="1" applyNumberFormat="1" applyBorder="1" applyAlignment="1">
      <alignment horizontal="center" wrapText="1"/>
    </xf>
    <xf numFmtId="168" fontId="6" fillId="0" borderId="3" xfId="6" quotePrefix="1" applyNumberFormat="1" applyBorder="1" applyAlignment="1">
      <alignment horizontal="center" vertical="center" wrapText="1"/>
    </xf>
    <xf numFmtId="168" fontId="6" fillId="0" borderId="0" xfId="6" quotePrefix="1" applyNumberFormat="1" applyAlignment="1">
      <alignment horizontal="center" vertical="center" wrapText="1"/>
    </xf>
    <xf numFmtId="168" fontId="6" fillId="0" borderId="2" xfId="6" quotePrefix="1" applyNumberFormat="1" applyBorder="1" applyAlignment="1">
      <alignment horizontal="center" vertical="center" wrapText="1"/>
    </xf>
    <xf numFmtId="0" fontId="8" fillId="0" borderId="0" xfId="6" applyFont="1" applyAlignment="1">
      <alignment horizontal="left" vertical="top" wrapText="1"/>
    </xf>
    <xf numFmtId="0" fontId="8" fillId="0" borderId="0" xfId="6" applyFont="1"/>
    <xf numFmtId="0" fontId="8" fillId="0" borderId="0" xfId="6" applyFont="1" applyAlignment="1">
      <alignment horizontal="left" vertical="top"/>
    </xf>
    <xf numFmtId="0" fontId="6" fillId="0" borderId="0" xfId="6" applyAlignment="1">
      <alignment horizontal="left" vertical="top" wrapText="1"/>
    </xf>
    <xf numFmtId="0" fontId="12" fillId="0" borderId="87" xfId="6" applyFont="1" applyBorder="1" applyAlignment="1">
      <alignment horizontal="center"/>
    </xf>
    <xf numFmtId="0" fontId="6" fillId="0" borderId="88" xfId="6" applyBorder="1"/>
    <xf numFmtId="0" fontId="12" fillId="0" borderId="0" xfId="6" applyFont="1" applyAlignment="1">
      <alignment horizontal="center"/>
    </xf>
    <xf numFmtId="0" fontId="12" fillId="0" borderId="0" xfId="6" quotePrefix="1" applyFont="1" applyAlignment="1">
      <alignment horizontal="center"/>
    </xf>
    <xf numFmtId="4" fontId="8" fillId="0" borderId="0" xfId="6" applyNumberFormat="1" applyFont="1" applyAlignment="1">
      <alignment horizontal="left"/>
    </xf>
    <xf numFmtId="0" fontId="8" fillId="0" borderId="0" xfId="6" applyFont="1" applyAlignment="1">
      <alignment horizontal="left"/>
    </xf>
    <xf numFmtId="0" fontId="8" fillId="0" borderId="0" xfId="6" quotePrefix="1" applyFont="1" applyAlignment="1">
      <alignment horizontal="left"/>
    </xf>
    <xf numFmtId="0" fontId="8" fillId="0" borderId="24" xfId="8" applyFont="1" applyBorder="1" applyAlignment="1">
      <alignment horizontal="center" vertical="center"/>
    </xf>
    <xf numFmtId="0" fontId="20" fillId="0" borderId="25" xfId="8" applyFont="1" applyBorder="1"/>
    <xf numFmtId="0" fontId="8" fillId="0" borderId="41" xfId="8" applyFont="1" applyBorder="1" applyAlignment="1">
      <alignment horizontal="center" vertical="center"/>
    </xf>
    <xf numFmtId="0" fontId="20" fillId="0" borderId="40" xfId="8" applyFont="1" applyBorder="1"/>
    <xf numFmtId="0" fontId="8" fillId="0" borderId="0" xfId="8" applyFont="1" applyAlignment="1">
      <alignment horizontal="left"/>
    </xf>
    <xf numFmtId="0" fontId="0" fillId="0" borderId="0" xfId="8" applyFont="1"/>
    <xf numFmtId="0" fontId="20" fillId="0" borderId="16" xfId="8" applyFont="1" applyBorder="1"/>
    <xf numFmtId="0" fontId="8" fillId="0" borderId="15" xfId="8" applyFont="1" applyBorder="1" applyAlignment="1">
      <alignment horizontal="center"/>
    </xf>
    <xf numFmtId="0" fontId="6" fillId="0" borderId="0" xfId="8" applyFont="1"/>
    <xf numFmtId="0" fontId="31" fillId="0" borderId="35" xfId="8" applyFont="1" applyBorder="1"/>
    <xf numFmtId="0" fontId="8" fillId="0" borderId="36" xfId="8" applyFont="1" applyBorder="1" applyAlignment="1">
      <alignment horizontal="center"/>
    </xf>
    <xf numFmtId="165" fontId="8" fillId="0" borderId="36" xfId="8" applyNumberFormat="1" applyFont="1" applyBorder="1" applyAlignment="1">
      <alignment horizontal="center"/>
    </xf>
    <xf numFmtId="0" fontId="31" fillId="0" borderId="16" xfId="8" applyFont="1" applyBorder="1"/>
    <xf numFmtId="0" fontId="8" fillId="0" borderId="38" xfId="8" applyFont="1" applyBorder="1" applyAlignment="1">
      <alignment horizontal="center"/>
    </xf>
    <xf numFmtId="0" fontId="31" fillId="0" borderId="39" xfId="8" applyFont="1" applyBorder="1"/>
    <xf numFmtId="0" fontId="31" fillId="0" borderId="40" xfId="8" applyFont="1" applyBorder="1"/>
    <xf numFmtId="0" fontId="8" fillId="0" borderId="41" xfId="8" applyFont="1" applyBorder="1" applyAlignment="1">
      <alignment horizontal="right" vertical="center" wrapText="1"/>
    </xf>
    <xf numFmtId="0" fontId="8" fillId="0" borderId="41" xfId="8" applyFont="1" applyBorder="1" applyAlignment="1">
      <alignment horizontal="center"/>
    </xf>
    <xf numFmtId="165" fontId="12" fillId="0" borderId="41" xfId="8" applyNumberFormat="1" applyFont="1" applyBorder="1" applyAlignment="1">
      <alignment horizontal="center"/>
    </xf>
    <xf numFmtId="0" fontId="31" fillId="0" borderId="42" xfId="8" applyFont="1" applyBorder="1"/>
    <xf numFmtId="0" fontId="12" fillId="0" borderId="43" xfId="8" applyFont="1" applyBorder="1" applyAlignment="1">
      <alignment vertical="center" wrapText="1"/>
    </xf>
    <xf numFmtId="0" fontId="20" fillId="0" borderId="44" xfId="8" applyFont="1" applyBorder="1"/>
    <xf numFmtId="0" fontId="12" fillId="0" borderId="41" xfId="8" applyFont="1" applyBorder="1" applyAlignment="1">
      <alignment horizontal="center" vertical="center"/>
    </xf>
    <xf numFmtId="0" fontId="20" fillId="0" borderId="39" xfId="8" applyFont="1" applyBorder="1"/>
    <xf numFmtId="0" fontId="20" fillId="0" borderId="42" xfId="8" applyFont="1" applyBorder="1"/>
    <xf numFmtId="0" fontId="8" fillId="0" borderId="15" xfId="8" applyFont="1" applyBorder="1" applyAlignment="1">
      <alignment wrapText="1"/>
    </xf>
    <xf numFmtId="0" fontId="20" fillId="0" borderId="15" xfId="8" applyFont="1" applyBorder="1"/>
    <xf numFmtId="0" fontId="8" fillId="0" borderId="15" xfId="8" applyFont="1" applyBorder="1" applyAlignment="1">
      <alignment horizontal="left" vertical="center" wrapText="1"/>
    </xf>
    <xf numFmtId="166" fontId="8" fillId="0" borderId="36" xfId="8" applyNumberFormat="1" applyFont="1" applyBorder="1" applyAlignment="1">
      <alignment horizontal="center" vertical="center"/>
    </xf>
    <xf numFmtId="0" fontId="20" fillId="0" borderId="35" xfId="8" applyFont="1" applyBorder="1"/>
    <xf numFmtId="0" fontId="6" fillId="0" borderId="15" xfId="8" applyFont="1" applyBorder="1" applyAlignment="1">
      <alignment horizontal="center" wrapText="1"/>
    </xf>
    <xf numFmtId="0" fontId="6" fillId="0" borderId="0" xfId="8" applyFont="1" applyAlignment="1">
      <alignment horizontal="center" wrapText="1"/>
    </xf>
    <xf numFmtId="0" fontId="6" fillId="0" borderId="35" xfId="8" applyFont="1" applyBorder="1" applyAlignment="1">
      <alignment horizontal="center" wrapText="1"/>
    </xf>
    <xf numFmtId="1" fontId="6" fillId="0" borderId="36" xfId="8" quotePrefix="1" applyNumberFormat="1" applyFont="1" applyBorder="1" applyAlignment="1">
      <alignment horizontal="center" vertical="center" wrapText="1"/>
    </xf>
    <xf numFmtId="1" fontId="6" fillId="0" borderId="35" xfId="8" quotePrefix="1" applyNumberFormat="1" applyFont="1" applyBorder="1" applyAlignment="1">
      <alignment horizontal="center" vertical="center" wrapText="1"/>
    </xf>
    <xf numFmtId="0" fontId="6" fillId="0" borderId="37" xfId="8" applyFont="1" applyBorder="1" applyAlignment="1">
      <alignment horizontal="center" vertical="center"/>
    </xf>
    <xf numFmtId="0" fontId="8" fillId="0" borderId="43" xfId="8" applyFont="1" applyBorder="1" applyAlignment="1">
      <alignment horizontal="center" vertical="center"/>
    </xf>
    <xf numFmtId="0" fontId="20" fillId="0" borderId="43" xfId="8" applyFont="1" applyBorder="1"/>
    <xf numFmtId="0" fontId="20" fillId="0" borderId="48" xfId="8" applyFont="1" applyBorder="1"/>
    <xf numFmtId="0" fontId="20" fillId="0" borderId="36" xfId="8" applyFont="1" applyBorder="1"/>
    <xf numFmtId="0" fontId="20" fillId="0" borderId="32" xfId="8" applyFont="1" applyBorder="1"/>
    <xf numFmtId="0" fontId="20" fillId="0" borderId="11" xfId="8" applyFont="1" applyBorder="1"/>
    <xf numFmtId="0" fontId="8" fillId="0" borderId="36" xfId="8" applyFont="1" applyBorder="1" applyAlignment="1">
      <alignment horizontal="center" vertical="center" wrapText="1"/>
    </xf>
    <xf numFmtId="0" fontId="20" fillId="0" borderId="18" xfId="8" applyFont="1" applyBorder="1"/>
    <xf numFmtId="0" fontId="8" fillId="0" borderId="36" xfId="8" applyFont="1" applyBorder="1" applyAlignment="1">
      <alignment horizontal="center" vertical="center"/>
    </xf>
    <xf numFmtId="0" fontId="8" fillId="0" borderId="37" xfId="8" applyFont="1" applyBorder="1" applyAlignment="1">
      <alignment horizontal="center" vertical="center"/>
    </xf>
    <xf numFmtId="0" fontId="20" fillId="0" borderId="37" xfId="8" applyFont="1" applyBorder="1"/>
    <xf numFmtId="0" fontId="8" fillId="0" borderId="15" xfId="8" applyFont="1" applyBorder="1" applyAlignment="1">
      <alignment horizontal="left" vertical="center"/>
    </xf>
    <xf numFmtId="0" fontId="12" fillId="0" borderId="38" xfId="8" applyFont="1" applyBorder="1" applyAlignment="1">
      <alignment horizontal="center" vertical="center"/>
    </xf>
    <xf numFmtId="0" fontId="6" fillId="0" borderId="15" xfId="8" applyFont="1" applyBorder="1" applyAlignment="1">
      <alignment horizontal="center"/>
    </xf>
    <xf numFmtId="0" fontId="32" fillId="0" borderId="0" xfId="8" applyFont="1"/>
    <xf numFmtId="0" fontId="8" fillId="0" borderId="36" xfId="8" applyFont="1" applyBorder="1" applyAlignment="1">
      <alignment horizontal="left" vertical="top" wrapText="1"/>
    </xf>
    <xf numFmtId="0" fontId="31" fillId="0" borderId="36" xfId="8" applyFont="1" applyBorder="1"/>
    <xf numFmtId="165" fontId="6" fillId="0" borderId="36" xfId="8" applyNumberFormat="1" applyFont="1" applyBorder="1" applyAlignment="1">
      <alignment horizontal="center"/>
    </xf>
    <xf numFmtId="0" fontId="12" fillId="0" borderId="43" xfId="8" applyFont="1" applyBorder="1" applyAlignment="1">
      <alignment horizontal="left" vertical="center" wrapText="1"/>
    </xf>
    <xf numFmtId="0" fontId="12" fillId="0" borderId="36" xfId="8" applyFont="1" applyBorder="1" applyAlignment="1">
      <alignment horizontal="center"/>
    </xf>
    <xf numFmtId="0" fontId="8" fillId="0" borderId="36" xfId="8" applyFont="1" applyBorder="1" applyAlignment="1">
      <alignment horizontal="left" wrapText="1"/>
    </xf>
    <xf numFmtId="0" fontId="8" fillId="0" borderId="35" xfId="8" applyFont="1" applyBorder="1" applyAlignment="1">
      <alignment horizontal="left" wrapText="1"/>
    </xf>
    <xf numFmtId="0" fontId="36" fillId="0" borderId="0" xfId="8" applyFont="1" applyAlignment="1">
      <alignment vertical="top" wrapText="1"/>
    </xf>
    <xf numFmtId="0" fontId="37" fillId="0" borderId="35" xfId="8" applyFont="1" applyBorder="1" applyAlignment="1">
      <alignment vertical="top" wrapText="1"/>
    </xf>
    <xf numFmtId="0" fontId="8" fillId="0" borderId="26" xfId="8" applyFont="1" applyBorder="1" applyAlignment="1">
      <alignment horizontal="center" vertical="center" wrapText="1"/>
    </xf>
    <xf numFmtId="0" fontId="20" fillId="0" borderId="27" xfId="8" applyFont="1" applyBorder="1"/>
    <xf numFmtId="0" fontId="20" fillId="0" borderId="28" xfId="8" applyFont="1" applyBorder="1"/>
    <xf numFmtId="0" fontId="20" fillId="0" borderId="17" xfId="8" applyFont="1" applyBorder="1"/>
    <xf numFmtId="0" fontId="20" fillId="0" borderId="31" xfId="8" applyFont="1" applyBorder="1"/>
    <xf numFmtId="0" fontId="6" fillId="0" borderId="29" xfId="8" applyFont="1" applyBorder="1" applyAlignment="1">
      <alignment vertical="center" wrapText="1"/>
    </xf>
    <xf numFmtId="0" fontId="20" fillId="0" borderId="30" xfId="8" applyFont="1" applyBorder="1"/>
    <xf numFmtId="0" fontId="8" fillId="0" borderId="12" xfId="8" applyFont="1" applyBorder="1" applyAlignment="1">
      <alignment horizontal="center" vertical="center" wrapText="1"/>
    </xf>
    <xf numFmtId="0" fontId="20" fillId="0" borderId="13" xfId="8" applyFont="1" applyBorder="1"/>
    <xf numFmtId="0" fontId="20" fillId="0" borderId="19" xfId="8" applyFont="1" applyBorder="1"/>
    <xf numFmtId="0" fontId="8" fillId="0" borderId="20" xfId="8" applyFont="1" applyBorder="1" applyAlignment="1">
      <alignment horizontal="center" vertical="center" wrapText="1"/>
    </xf>
    <xf numFmtId="0" fontId="26" fillId="0" borderId="20" xfId="8" applyFont="1" applyBorder="1" applyAlignment="1">
      <alignment horizontal="center" vertical="center" wrapText="1"/>
    </xf>
    <xf numFmtId="0" fontId="26" fillId="0" borderId="33" xfId="8" applyFont="1" applyBorder="1" applyAlignment="1">
      <alignment horizontal="center" vertical="center" wrapText="1"/>
    </xf>
    <xf numFmtId="0" fontId="20" fillId="0" borderId="34" xfId="8" applyFont="1" applyBorder="1"/>
    <xf numFmtId="0" fontId="20" fillId="0" borderId="14" xfId="8" applyFont="1" applyBorder="1"/>
    <xf numFmtId="0" fontId="22" fillId="0" borderId="15" xfId="8" applyFont="1" applyBorder="1" applyAlignment="1">
      <alignment horizontal="center" vertical="top" wrapText="1"/>
    </xf>
    <xf numFmtId="0" fontId="11" fillId="0" borderId="17" xfId="8" applyFont="1" applyBorder="1" applyAlignment="1">
      <alignment horizontal="left" vertical="top" wrapText="1"/>
    </xf>
    <xf numFmtId="0" fontId="20" fillId="0" borderId="21" xfId="8" applyFont="1" applyBorder="1"/>
    <xf numFmtId="0" fontId="20" fillId="0" borderId="22" xfId="8" applyFont="1" applyBorder="1"/>
    <xf numFmtId="0" fontId="20" fillId="0" borderId="23" xfId="8" applyFont="1" applyBorder="1"/>
    <xf numFmtId="0" fontId="7" fillId="0" borderId="20" xfId="8" applyFont="1" applyBorder="1" applyAlignment="1">
      <alignment vertical="center" wrapText="1"/>
    </xf>
    <xf numFmtId="0" fontId="20" fillId="0" borderId="24" xfId="8" applyFont="1" applyBorder="1"/>
    <xf numFmtId="0" fontId="16" fillId="0" borderId="0" xfId="8" applyFont="1" applyAlignment="1">
      <alignment horizontal="right" vertical="center"/>
    </xf>
    <xf numFmtId="0" fontId="19" fillId="0" borderId="11" xfId="8" applyFont="1" applyBorder="1" applyAlignment="1">
      <alignment horizontal="center"/>
    </xf>
    <xf numFmtId="0" fontId="21" fillId="0" borderId="12" xfId="8" applyFont="1" applyBorder="1" applyAlignment="1">
      <alignment horizontal="center" vertical="center" wrapText="1"/>
    </xf>
    <xf numFmtId="0" fontId="11" fillId="0" borderId="12" xfId="8" applyFont="1" applyBorder="1" applyAlignment="1">
      <alignment horizontal="left" wrapText="1"/>
    </xf>
    <xf numFmtId="0" fontId="22" fillId="0" borderId="15" xfId="8" applyFont="1" applyBorder="1" applyAlignment="1">
      <alignment horizontal="left" wrapText="1"/>
    </xf>
    <xf numFmtId="0" fontId="11" fillId="0" borderId="15" xfId="8" applyFont="1" applyBorder="1" applyAlignment="1">
      <alignment horizontal="left" vertical="center" wrapText="1"/>
    </xf>
    <xf numFmtId="0" fontId="41" fillId="0" borderId="54" xfId="6" applyFont="1" applyBorder="1" applyAlignment="1">
      <alignment horizontal="center"/>
    </xf>
    <xf numFmtId="0" fontId="41" fillId="0" borderId="1" xfId="6" applyFont="1" applyBorder="1" applyAlignment="1">
      <alignment horizontal="center"/>
    </xf>
    <xf numFmtId="0" fontId="41" fillId="0" borderId="53" xfId="6" applyFont="1" applyBorder="1" applyAlignment="1">
      <alignment horizontal="center"/>
    </xf>
    <xf numFmtId="0" fontId="42" fillId="0" borderId="61" xfId="6" quotePrefix="1" applyFont="1" applyBorder="1" applyAlignment="1">
      <alignment horizontal="right" vertical="center"/>
    </xf>
    <xf numFmtId="0" fontId="42" fillId="0" borderId="60" xfId="6" quotePrefix="1" applyFont="1" applyBorder="1" applyAlignment="1">
      <alignment horizontal="right" vertical="center"/>
    </xf>
    <xf numFmtId="0" fontId="33" fillId="0" borderId="57" xfId="6" applyFont="1" applyBorder="1" applyAlignment="1">
      <alignment horizontal="left" vertical="center"/>
    </xf>
    <xf numFmtId="0" fontId="33" fillId="0" borderId="56" xfId="6" applyFont="1" applyBorder="1" applyAlignment="1">
      <alignment horizontal="left" vertical="center"/>
    </xf>
    <xf numFmtId="0" fontId="41" fillId="0" borderId="52" xfId="6" applyFont="1" applyBorder="1" applyAlignment="1">
      <alignment horizontal="center" vertical="top" wrapText="1"/>
    </xf>
    <xf numFmtId="0" fontId="41" fillId="0" borderId="0" xfId="6" applyFont="1" applyAlignment="1">
      <alignment horizontal="center" vertical="top" wrapText="1"/>
    </xf>
    <xf numFmtId="0" fontId="41" fillId="0" borderId="51" xfId="6" applyFont="1" applyBorder="1" applyAlignment="1">
      <alignment horizontal="center" vertical="top" wrapText="1"/>
    </xf>
    <xf numFmtId="0" fontId="43" fillId="0" borderId="52" xfId="6" applyFont="1" applyBorder="1" applyAlignment="1">
      <alignment horizontal="center" vertical="center"/>
    </xf>
    <xf numFmtId="0" fontId="43" fillId="0" borderId="0" xfId="6" applyFont="1" applyAlignment="1">
      <alignment horizontal="center" vertical="center"/>
    </xf>
    <xf numFmtId="0" fontId="43" fillId="0" borderId="51" xfId="6" applyFont="1" applyBorder="1" applyAlignment="1">
      <alignment horizontal="center" vertical="center"/>
    </xf>
    <xf numFmtId="0" fontId="41" fillId="0" borderId="52" xfId="6" applyFont="1" applyBorder="1" applyAlignment="1">
      <alignment horizontal="center" vertical="center"/>
    </xf>
    <xf numFmtId="0" fontId="41" fillId="0" borderId="0" xfId="6" applyFont="1" applyAlignment="1">
      <alignment horizontal="center" vertical="center"/>
    </xf>
    <xf numFmtId="0" fontId="41" fillId="0" borderId="51" xfId="6" applyFont="1" applyBorder="1" applyAlignment="1">
      <alignment horizontal="center" vertical="center"/>
    </xf>
    <xf numFmtId="0" fontId="33" fillId="0" borderId="57" xfId="6" applyFont="1" applyBorder="1" applyAlignment="1">
      <alignment horizontal="left"/>
    </xf>
    <xf numFmtId="0" fontId="33" fillId="0" borderId="56" xfId="6" applyFont="1" applyBorder="1" applyAlignment="1">
      <alignment horizontal="left"/>
    </xf>
    <xf numFmtId="0" fontId="41" fillId="0" borderId="52" xfId="6" applyFont="1" applyBorder="1" applyAlignment="1">
      <alignment horizontal="center"/>
    </xf>
    <xf numFmtId="0" fontId="41" fillId="0" borderId="0" xfId="6" applyFont="1" applyAlignment="1">
      <alignment horizontal="center"/>
    </xf>
    <xf numFmtId="0" fontId="41" fillId="0" borderId="51" xfId="6" applyFont="1" applyBorder="1" applyAlignment="1">
      <alignment horizontal="center"/>
    </xf>
    <xf numFmtId="0" fontId="43" fillId="0" borderId="52" xfId="6" applyFont="1" applyBorder="1" applyAlignment="1">
      <alignment horizontal="center"/>
    </xf>
    <xf numFmtId="0" fontId="43" fillId="0" borderId="0" xfId="6" applyFont="1" applyAlignment="1">
      <alignment horizontal="center"/>
    </xf>
    <xf numFmtId="0" fontId="43" fillId="0" borderId="51" xfId="6" applyFont="1" applyBorder="1" applyAlignment="1">
      <alignment horizontal="center"/>
    </xf>
    <xf numFmtId="167" fontId="33" fillId="0" borderId="97" xfId="1" applyNumberFormat="1" applyFont="1" applyBorder="1" applyAlignment="1">
      <alignment horizontal="center" vertical="center" wrapText="1"/>
    </xf>
    <xf numFmtId="167" fontId="33" fillId="0" borderId="62" xfId="1" applyNumberFormat="1" applyFont="1" applyBorder="1" applyAlignment="1">
      <alignment horizontal="center" vertical="center" wrapText="1"/>
    </xf>
    <xf numFmtId="167" fontId="33" fillId="0" borderId="0" xfId="1" applyNumberFormat="1" applyFont="1" applyBorder="1" applyAlignment="1">
      <alignment horizontal="center" vertical="center" wrapText="1"/>
    </xf>
    <xf numFmtId="0" fontId="41" fillId="0" borderId="1" xfId="6" applyFont="1" applyBorder="1" applyAlignment="1">
      <alignment horizontal="center" vertical="center"/>
    </xf>
    <xf numFmtId="0" fontId="33" fillId="0" borderId="57" xfId="6" applyFont="1" applyBorder="1" applyAlignment="1">
      <alignment horizontal="left" vertical="center" wrapText="1"/>
    </xf>
    <xf numFmtId="0" fontId="33" fillId="0" borderId="56" xfId="6" applyFont="1" applyBorder="1" applyAlignment="1">
      <alignment horizontal="left" vertical="center" wrapText="1"/>
    </xf>
    <xf numFmtId="0" fontId="33" fillId="0" borderId="55" xfId="6" applyFont="1" applyBorder="1" applyAlignment="1">
      <alignment horizontal="left" vertical="center" wrapText="1"/>
    </xf>
    <xf numFmtId="0" fontId="33" fillId="0" borderId="64" xfId="6" applyFont="1" applyBorder="1" applyAlignment="1">
      <alignment horizontal="left" vertical="top" wrapText="1"/>
    </xf>
    <xf numFmtId="0" fontId="33" fillId="0" borderId="5" xfId="6" applyFont="1" applyBorder="1" applyAlignment="1">
      <alignment horizontal="left" vertical="top" wrapText="1"/>
    </xf>
    <xf numFmtId="0" fontId="33" fillId="0" borderId="63" xfId="6" applyFont="1" applyBorder="1" applyAlignment="1">
      <alignment horizontal="left" vertical="top" wrapText="1"/>
    </xf>
    <xf numFmtId="0" fontId="33" fillId="0" borderId="52" xfId="6" applyFont="1" applyBorder="1" applyAlignment="1">
      <alignment horizontal="left" vertical="top" wrapText="1"/>
    </xf>
    <xf numFmtId="0" fontId="33" fillId="0" borderId="0" xfId="6" applyFont="1" applyBorder="1" applyAlignment="1">
      <alignment horizontal="left" vertical="top" wrapText="1"/>
    </xf>
    <xf numFmtId="0" fontId="33" fillId="0" borderId="51" xfId="6" applyFont="1" applyBorder="1" applyAlignment="1">
      <alignment horizontal="left" vertical="top" wrapText="1"/>
    </xf>
    <xf numFmtId="0" fontId="33" fillId="0" borderId="54" xfId="6" applyFont="1" applyBorder="1" applyAlignment="1">
      <alignment horizontal="left" vertical="top" wrapText="1"/>
    </xf>
    <xf numFmtId="0" fontId="33" fillId="0" borderId="1" xfId="6" applyFont="1" applyBorder="1" applyAlignment="1">
      <alignment horizontal="left" vertical="top" wrapText="1"/>
    </xf>
    <xf numFmtId="0" fontId="33" fillId="0" borderId="53" xfId="6" applyFont="1" applyBorder="1" applyAlignment="1">
      <alignment horizontal="left" vertical="top" wrapText="1"/>
    </xf>
    <xf numFmtId="0" fontId="33" fillId="0" borderId="1" xfId="6" applyFont="1" applyBorder="1" applyAlignment="1">
      <alignment horizontal="center" vertical="center"/>
    </xf>
    <xf numFmtId="0" fontId="33" fillId="0" borderId="53" xfId="6" applyFont="1" applyBorder="1" applyAlignment="1">
      <alignment horizontal="center" vertical="center"/>
    </xf>
    <xf numFmtId="15" fontId="41" fillId="0" borderId="75" xfId="0" quotePrefix="1" applyNumberFormat="1" applyFont="1" applyBorder="1" applyAlignment="1">
      <alignment horizontal="center" vertical="center" wrapText="1"/>
    </xf>
    <xf numFmtId="15" fontId="41" fillId="0" borderId="99" xfId="0" quotePrefix="1" applyNumberFormat="1" applyFont="1" applyBorder="1" applyAlignment="1">
      <alignment horizontal="center" vertical="center" wrapText="1"/>
    </xf>
    <xf numFmtId="0" fontId="44" fillId="0" borderId="1" xfId="6" applyFont="1" applyBorder="1" applyAlignment="1">
      <alignment horizontal="center"/>
    </xf>
    <xf numFmtId="0" fontId="44" fillId="0" borderId="0" xfId="6" applyFont="1" applyAlignment="1">
      <alignment horizontal="center"/>
    </xf>
    <xf numFmtId="0" fontId="33" fillId="0" borderId="57" xfId="6" applyFont="1" applyBorder="1" applyAlignment="1">
      <alignment horizontal="left" vertical="top" wrapText="1"/>
    </xf>
    <xf numFmtId="0" fontId="33" fillId="0" borderId="56" xfId="6" applyFont="1" applyBorder="1" applyAlignment="1">
      <alignment horizontal="left" vertical="top" wrapText="1"/>
    </xf>
    <xf numFmtId="0" fontId="33" fillId="0" borderId="52" xfId="6" applyFont="1" applyBorder="1" applyAlignment="1">
      <alignment horizontal="center" vertical="center" wrapText="1"/>
    </xf>
    <xf numFmtId="0" fontId="33" fillId="0" borderId="54" xfId="6" applyFont="1" applyBorder="1" applyAlignment="1">
      <alignment horizontal="center" vertical="center"/>
    </xf>
    <xf numFmtId="167" fontId="33" fillId="0" borderId="0" xfId="1" applyNumberFormat="1" applyFont="1" applyBorder="1" applyAlignment="1">
      <alignment horizontal="center" vertical="center"/>
    </xf>
    <xf numFmtId="167" fontId="33" fillId="0" borderId="1" xfId="1" applyNumberFormat="1" applyFont="1" applyBorder="1" applyAlignment="1">
      <alignment horizontal="center" vertical="center"/>
    </xf>
    <xf numFmtId="15" fontId="41" fillId="0" borderId="102" xfId="0" quotePrefix="1" applyNumberFormat="1" applyFont="1" applyBorder="1" applyAlignment="1">
      <alignment horizontal="center" vertical="center" wrapText="1"/>
    </xf>
    <xf numFmtId="15" fontId="41" fillId="0" borderId="103" xfId="0" quotePrefix="1" applyNumberFormat="1" applyFont="1" applyBorder="1" applyAlignment="1">
      <alignment horizontal="center" vertical="center" wrapText="1"/>
    </xf>
    <xf numFmtId="17" fontId="6" fillId="0" borderId="104" xfId="0" quotePrefix="1" applyNumberFormat="1" applyFont="1" applyBorder="1" applyAlignment="1">
      <alignment horizontal="center" vertical="center"/>
    </xf>
    <xf numFmtId="17" fontId="6" fillId="0" borderId="8" xfId="0" quotePrefix="1" applyNumberFormat="1" applyFont="1" applyBorder="1" applyAlignment="1">
      <alignment horizontal="center" vertical="center"/>
    </xf>
    <xf numFmtId="0" fontId="47" fillId="0" borderId="87" xfId="16" applyFont="1" applyBorder="1" applyAlignment="1">
      <alignment horizontal="left"/>
    </xf>
    <xf numFmtId="0" fontId="46" fillId="0" borderId="88" xfId="16" applyFont="1" applyBorder="1"/>
    <xf numFmtId="0" fontId="47" fillId="0" borderId="87" xfId="16" applyFont="1" applyBorder="1" applyAlignment="1">
      <alignment vertical="center"/>
    </xf>
    <xf numFmtId="0" fontId="48" fillId="0" borderId="87" xfId="16" applyFont="1" applyBorder="1" applyAlignment="1">
      <alignment horizontal="center"/>
    </xf>
    <xf numFmtId="0" fontId="47" fillId="0" borderId="87" xfId="16" applyFont="1" applyBorder="1" applyAlignment="1">
      <alignment horizontal="center"/>
    </xf>
    <xf numFmtId="0" fontId="38" fillId="0" borderId="29" xfId="16" applyFont="1" applyBorder="1" applyAlignment="1">
      <alignment horizontal="left" vertical="center" wrapText="1"/>
    </xf>
    <xf numFmtId="0" fontId="46" fillId="0" borderId="27" xfId="16" applyFont="1" applyBorder="1"/>
    <xf numFmtId="0" fontId="46" fillId="0" borderId="28" xfId="16" applyFont="1" applyBorder="1"/>
    <xf numFmtId="0" fontId="46" fillId="0" borderId="36" xfId="16" applyFont="1" applyBorder="1"/>
    <xf numFmtId="0" fontId="40" fillId="0" borderId="0" xfId="16"/>
    <xf numFmtId="0" fontId="46" fillId="0" borderId="35" xfId="16" applyFont="1" applyBorder="1"/>
    <xf numFmtId="0" fontId="47" fillId="0" borderId="29" xfId="16" applyFont="1" applyBorder="1" applyAlignment="1">
      <alignment horizontal="center" vertical="center" wrapText="1"/>
    </xf>
    <xf numFmtId="0" fontId="46" fillId="0" borderId="24" xfId="16" applyFont="1" applyBorder="1"/>
    <xf numFmtId="0" fontId="46" fillId="0" borderId="22" xfId="16" applyFont="1" applyBorder="1"/>
    <xf numFmtId="0" fontId="46" fillId="0" borderId="23" xfId="16" applyFont="1" applyBorder="1"/>
    <xf numFmtId="0" fontId="45" fillId="0" borderId="11" xfId="16" applyFont="1" applyBorder="1" applyAlignment="1">
      <alignment horizontal="center"/>
    </xf>
    <xf numFmtId="0" fontId="46" fillId="0" borderId="11" xfId="16" applyFont="1" applyBorder="1"/>
    <xf numFmtId="0" fontId="46" fillId="0" borderId="93" xfId="16" applyFont="1" applyBorder="1"/>
    <xf numFmtId="0" fontId="47" fillId="0" borderId="29" xfId="16" applyFont="1" applyBorder="1" applyAlignment="1">
      <alignment horizontal="left"/>
    </xf>
    <xf numFmtId="0" fontId="48" fillId="0" borderId="4" xfId="16" applyFont="1" applyBorder="1" applyAlignment="1">
      <alignment horizontal="center"/>
    </xf>
    <xf numFmtId="0" fontId="46" fillId="0" borderId="4" xfId="16" applyFont="1" applyBorder="1"/>
    <xf numFmtId="0" fontId="48" fillId="0" borderId="24" xfId="16" applyFont="1" applyBorder="1" applyAlignment="1">
      <alignment horizontal="center"/>
    </xf>
    <xf numFmtId="0" fontId="6" fillId="0" borderId="4" xfId="0" applyFont="1" applyBorder="1" applyAlignment="1">
      <alignment horizontal="left" vertical="center" wrapText="1"/>
    </xf>
    <xf numFmtId="0" fontId="0" fillId="0" borderId="4" xfId="0" applyBorder="1" applyAlignment="1">
      <alignment horizontal="center" vertical="center"/>
    </xf>
  </cellXfs>
  <cellStyles count="20">
    <cellStyle name="Comma" xfId="1" builtinId="3"/>
    <cellStyle name="Comma 2" xfId="17"/>
    <cellStyle name="Comma 2 2" xfId="10"/>
    <cellStyle name="Comma 3" xfId="12"/>
    <cellStyle name="Comma 4" xfId="5"/>
    <cellStyle name="Comma 4 2" xfId="14"/>
    <cellStyle name="Comma 4 2 2" xfId="19"/>
    <cellStyle name="Normal" xfId="0" builtinId="0"/>
    <cellStyle name="Normal 2" xfId="2"/>
    <cellStyle name="Normal 2 2" xfId="6"/>
    <cellStyle name="Normal 2 2 2" xfId="15"/>
    <cellStyle name="Normal 2 3" xfId="9"/>
    <cellStyle name="Normal 3" xfId="3"/>
    <cellStyle name="Normal 4" xfId="7"/>
    <cellStyle name="Normal 5" xfId="4"/>
    <cellStyle name="Normal 5 2" xfId="13"/>
    <cellStyle name="Normal 5 2 2" xfId="18"/>
    <cellStyle name="Normal 6" xfId="8"/>
    <cellStyle name="Normal 6 2" xfId="11"/>
    <cellStyle name="Normal 7" xfId="1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19050</xdr:rowOff>
    </xdr:from>
    <xdr:ext cx="600075" cy="762000"/>
    <xdr:pic>
      <xdr:nvPicPr>
        <xdr:cNvPr id="2" name="image1.png">
          <a:extLst>
            <a:ext uri="{FF2B5EF4-FFF2-40B4-BE49-F238E27FC236}">
              <a16:creationId xmlns:a16="http://schemas.microsoft.com/office/drawing/2014/main" id="{797BFEA1-73A2-E740-82E4-112F998B3FC3}"/>
            </a:ext>
          </a:extLst>
        </xdr:cNvPr>
        <xdr:cNvPicPr preferRelativeResize="0"/>
      </xdr:nvPicPr>
      <xdr:blipFill>
        <a:blip xmlns:r="http://schemas.openxmlformats.org/officeDocument/2006/relationships" r:embed="rId1" cstate="print"/>
        <a:stretch>
          <a:fillRect/>
        </a:stretch>
      </xdr:blipFill>
      <xdr:spPr>
        <a:xfrm>
          <a:off x="95250" y="19050"/>
          <a:ext cx="600075" cy="7620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2</xdr:row>
      <xdr:rowOff>123825</xdr:rowOff>
    </xdr:from>
    <xdr:ext cx="723900" cy="688975"/>
    <xdr:pic>
      <xdr:nvPicPr>
        <xdr:cNvPr id="2" name="image1.png" descr="C:\Users\jpeña\Downloads\Updated DA BSWM Logo (Transparent).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76200" y="571500"/>
          <a:ext cx="723900" cy="6889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49"/>
  <sheetViews>
    <sheetView view="pageBreakPreview" topLeftCell="A13" zoomScaleNormal="100" zoomScaleSheetLayoutView="100" workbookViewId="0">
      <selection activeCell="B17" sqref="B17:Q17"/>
    </sheetView>
  </sheetViews>
  <sheetFormatPr defaultColWidth="8.85546875" defaultRowHeight="12.75" x14ac:dyDescent="0.2"/>
  <cols>
    <col min="1" max="1" width="2.42578125" style="73" customWidth="1"/>
    <col min="2" max="2" width="4" style="73" customWidth="1"/>
    <col min="3" max="3" width="3.7109375" style="73" customWidth="1"/>
    <col min="4" max="4" width="1.42578125" style="73" hidden="1" customWidth="1"/>
    <col min="5" max="5" width="2.42578125" style="73" customWidth="1"/>
    <col min="6" max="15" width="2.85546875" style="73" customWidth="1"/>
    <col min="16" max="16" width="1.42578125" style="73" customWidth="1"/>
    <col min="17" max="17" width="9.42578125" style="73" customWidth="1"/>
    <col min="18" max="18" width="3.7109375" style="73" customWidth="1"/>
    <col min="19" max="21" width="2.85546875" style="73" customWidth="1"/>
    <col min="22" max="22" width="7.7109375" style="73" customWidth="1"/>
    <col min="23" max="26" width="2.85546875" style="73" customWidth="1"/>
    <col min="27" max="27" width="6.42578125" style="73" customWidth="1"/>
    <col min="28" max="31" width="2.85546875" style="73" customWidth="1"/>
    <col min="32" max="32" width="4.42578125" style="73" customWidth="1"/>
    <col min="33" max="16384" width="8.85546875" style="73"/>
  </cols>
  <sheetData>
    <row r="1" spans="1:32" ht="17.25" customHeight="1" x14ac:dyDescent="0.2">
      <c r="A1" s="318" t="s">
        <v>121</v>
      </c>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row>
    <row r="2" spans="1:32" ht="9.75" customHeight="1" x14ac:dyDescent="0.2">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row>
    <row r="3" spans="1:32" ht="22.5" customHeight="1" x14ac:dyDescent="0.2">
      <c r="A3" s="103"/>
      <c r="B3" s="107"/>
      <c r="C3" s="107"/>
      <c r="D3" s="107"/>
      <c r="E3" s="107"/>
      <c r="F3" s="107"/>
      <c r="G3" s="107"/>
      <c r="H3" s="107"/>
      <c r="I3" s="107"/>
      <c r="J3" s="107"/>
      <c r="K3" s="107"/>
      <c r="L3" s="107"/>
      <c r="M3" s="107"/>
      <c r="N3" s="107"/>
      <c r="O3" s="107"/>
      <c r="P3" s="107"/>
      <c r="Q3" s="107"/>
      <c r="R3" s="107"/>
      <c r="S3" s="107"/>
      <c r="T3" s="107"/>
      <c r="U3" s="107"/>
      <c r="V3" s="410" t="s">
        <v>120</v>
      </c>
      <c r="W3" s="410"/>
      <c r="X3" s="410"/>
      <c r="Y3" s="410"/>
      <c r="Z3" s="410"/>
      <c r="AA3" s="410"/>
      <c r="AB3" s="407" t="s">
        <v>198</v>
      </c>
      <c r="AC3" s="408"/>
      <c r="AD3" s="408"/>
      <c r="AE3" s="408"/>
      <c r="AF3" s="408"/>
    </row>
    <row r="4" spans="1:32" ht="15" customHeight="1" x14ac:dyDescent="0.2">
      <c r="A4" s="103"/>
      <c r="B4" s="107"/>
      <c r="C4" s="107"/>
      <c r="D4" s="107"/>
      <c r="E4" s="107"/>
      <c r="F4" s="107"/>
      <c r="G4" s="107"/>
      <c r="H4" s="107"/>
      <c r="I4" s="107"/>
      <c r="J4" s="107"/>
      <c r="K4" s="107"/>
      <c r="L4" s="107"/>
      <c r="M4" s="107"/>
      <c r="N4" s="107"/>
      <c r="O4" s="107"/>
      <c r="P4" s="107"/>
      <c r="Q4" s="107"/>
      <c r="R4" s="107"/>
      <c r="S4" s="107"/>
      <c r="T4" s="107"/>
      <c r="U4" s="107"/>
      <c r="V4" s="411" t="s">
        <v>87</v>
      </c>
      <c r="W4" s="411"/>
      <c r="X4" s="411"/>
      <c r="Y4" s="411"/>
      <c r="Z4" s="411"/>
      <c r="AA4" s="411"/>
      <c r="AB4" s="409"/>
      <c r="AC4" s="409"/>
      <c r="AD4" s="409"/>
      <c r="AE4" s="409"/>
      <c r="AF4" s="409"/>
    </row>
    <row r="5" spans="1:32" ht="15.6" customHeight="1" thickBot="1" x14ac:dyDescent="0.25">
      <c r="A5" s="106"/>
      <c r="B5" s="106"/>
      <c r="C5" s="106"/>
      <c r="D5" s="106"/>
      <c r="E5" s="106"/>
      <c r="F5" s="106"/>
      <c r="G5" s="106"/>
      <c r="H5" s="106"/>
      <c r="I5" s="106"/>
      <c r="J5" s="106"/>
      <c r="K5" s="106"/>
      <c r="L5" s="106"/>
      <c r="M5" s="106"/>
      <c r="N5" s="106"/>
      <c r="O5" s="106"/>
      <c r="P5" s="106"/>
      <c r="Q5" s="106"/>
      <c r="R5" s="106"/>
      <c r="S5" s="106"/>
      <c r="T5" s="106"/>
      <c r="U5" s="106"/>
      <c r="V5" s="413" t="s">
        <v>119</v>
      </c>
      <c r="W5" s="413"/>
      <c r="X5" s="413"/>
      <c r="Y5" s="413"/>
      <c r="Z5" s="413"/>
      <c r="AA5" s="413"/>
      <c r="AB5" s="412"/>
      <c r="AC5" s="412"/>
      <c r="AD5" s="412"/>
      <c r="AE5" s="412"/>
      <c r="AF5" s="412"/>
    </row>
    <row r="6" spans="1:32" ht="9.75" customHeight="1" x14ac:dyDescent="0.2">
      <c r="A6" s="389" t="s">
        <v>118</v>
      </c>
      <c r="B6" s="390"/>
      <c r="C6" s="391"/>
      <c r="D6" s="105"/>
      <c r="E6" s="417"/>
      <c r="F6" s="322"/>
      <c r="G6" s="322"/>
      <c r="H6" s="322"/>
      <c r="I6" s="322"/>
      <c r="J6" s="322"/>
      <c r="K6" s="322"/>
      <c r="L6" s="322"/>
      <c r="M6" s="322"/>
      <c r="N6" s="322"/>
      <c r="O6" s="322"/>
      <c r="P6" s="322"/>
      <c r="Q6" s="322"/>
      <c r="R6" s="322"/>
      <c r="S6" s="322"/>
      <c r="T6" s="322"/>
      <c r="U6" s="322"/>
      <c r="V6" s="322"/>
      <c r="W6" s="322"/>
      <c r="X6" s="322"/>
      <c r="Y6" s="322"/>
      <c r="Z6" s="322"/>
      <c r="AA6" s="322"/>
      <c r="AB6" s="322"/>
      <c r="AC6" s="322"/>
      <c r="AD6" s="322"/>
      <c r="AE6" s="322"/>
      <c r="AF6" s="323"/>
    </row>
    <row r="7" spans="1:32" x14ac:dyDescent="0.2">
      <c r="A7" s="392"/>
      <c r="B7" s="393"/>
      <c r="C7" s="394"/>
      <c r="E7" s="132"/>
      <c r="F7" s="141"/>
      <c r="G7" s="86"/>
      <c r="H7" s="73" t="s">
        <v>117</v>
      </c>
      <c r="L7" s="86"/>
      <c r="M7" s="73" t="s">
        <v>116</v>
      </c>
      <c r="N7" s="141"/>
      <c r="S7" s="86"/>
      <c r="T7" s="73" t="s">
        <v>115</v>
      </c>
      <c r="U7" s="141"/>
      <c r="W7" s="86"/>
      <c r="X7" s="73" t="s">
        <v>114</v>
      </c>
      <c r="AE7" s="141"/>
      <c r="AF7" s="133"/>
    </row>
    <row r="8" spans="1:32" ht="14.25" customHeight="1" thickBot="1" x14ac:dyDescent="0.25">
      <c r="A8" s="414"/>
      <c r="B8" s="415"/>
      <c r="C8" s="416"/>
      <c r="D8" s="130"/>
      <c r="E8" s="138"/>
      <c r="F8" s="131"/>
      <c r="G8" s="131"/>
      <c r="H8" s="131"/>
      <c r="I8" s="130"/>
      <c r="J8" s="303"/>
      <c r="K8" s="303"/>
      <c r="L8" s="303"/>
      <c r="M8" s="303"/>
      <c r="N8" s="131"/>
      <c r="O8" s="303"/>
      <c r="P8" s="303"/>
      <c r="Q8" s="303"/>
      <c r="R8" s="303"/>
      <c r="S8" s="303"/>
      <c r="T8" s="303"/>
      <c r="U8" s="131"/>
      <c r="V8" s="131"/>
      <c r="W8" s="131"/>
      <c r="X8" s="131"/>
      <c r="Y8" s="131"/>
      <c r="Z8" s="131"/>
      <c r="AA8" s="104" t="s">
        <v>113</v>
      </c>
      <c r="AB8" s="131"/>
      <c r="AC8" s="131"/>
      <c r="AD8" s="131"/>
      <c r="AE8" s="131"/>
      <c r="AF8" s="139"/>
    </row>
    <row r="9" spans="1:32" ht="15" customHeight="1" x14ac:dyDescent="0.2">
      <c r="A9" s="389" t="s">
        <v>12</v>
      </c>
      <c r="B9" s="390"/>
      <c r="C9" s="391"/>
      <c r="D9" s="80"/>
      <c r="E9" s="418" t="str">
        <f>'Itinerary (3 copies)'!D17</f>
        <v>WARREN A. DEL ROSARIO</v>
      </c>
      <c r="F9" s="390"/>
      <c r="G9" s="390"/>
      <c r="H9" s="390"/>
      <c r="I9" s="390"/>
      <c r="J9" s="390"/>
      <c r="K9" s="390"/>
      <c r="L9" s="390"/>
      <c r="M9" s="390"/>
      <c r="N9" s="390"/>
      <c r="O9" s="390"/>
      <c r="P9" s="390"/>
      <c r="Q9" s="390"/>
      <c r="R9" s="391"/>
      <c r="S9" s="420" t="s">
        <v>112</v>
      </c>
      <c r="T9" s="322"/>
      <c r="U9" s="322"/>
      <c r="V9" s="322"/>
      <c r="W9" s="322"/>
      <c r="X9" s="322"/>
      <c r="Y9" s="322"/>
      <c r="Z9" s="322"/>
      <c r="AA9" s="421"/>
      <c r="AB9" s="395" t="s">
        <v>111</v>
      </c>
      <c r="AC9" s="396"/>
      <c r="AD9" s="396"/>
      <c r="AE9" s="396"/>
      <c r="AF9" s="397"/>
    </row>
    <row r="10" spans="1:32" ht="13.35" customHeight="1" x14ac:dyDescent="0.2">
      <c r="A10" s="392"/>
      <c r="B10" s="393"/>
      <c r="C10" s="394"/>
      <c r="E10" s="419"/>
      <c r="F10" s="393"/>
      <c r="G10" s="393"/>
      <c r="H10" s="393"/>
      <c r="I10" s="393"/>
      <c r="J10" s="393"/>
      <c r="K10" s="393"/>
      <c r="L10" s="393"/>
      <c r="M10" s="393"/>
      <c r="N10" s="393"/>
      <c r="O10" s="393"/>
      <c r="P10" s="393"/>
      <c r="Q10" s="393"/>
      <c r="R10" s="394"/>
      <c r="S10" s="386" t="s">
        <v>196</v>
      </c>
      <c r="T10" s="387"/>
      <c r="U10" s="387"/>
      <c r="V10" s="387"/>
      <c r="W10" s="387"/>
      <c r="X10" s="387"/>
      <c r="Y10" s="387"/>
      <c r="Z10" s="387"/>
      <c r="AA10" s="388"/>
      <c r="AB10" s="283"/>
      <c r="AC10" s="284"/>
      <c r="AD10" s="284"/>
      <c r="AE10" s="284"/>
      <c r="AF10" s="285"/>
    </row>
    <row r="11" spans="1:32" ht="15.75" customHeight="1" thickBot="1" x14ac:dyDescent="0.25">
      <c r="A11" s="398" t="s">
        <v>13</v>
      </c>
      <c r="B11" s="399"/>
      <c r="C11" s="400"/>
      <c r="E11" s="401" t="s">
        <v>65</v>
      </c>
      <c r="F11" s="402"/>
      <c r="G11" s="402"/>
      <c r="H11" s="402"/>
      <c r="I11" s="402"/>
      <c r="J11" s="402"/>
      <c r="K11" s="402"/>
      <c r="L11" s="402"/>
      <c r="M11" s="402"/>
      <c r="N11" s="402"/>
      <c r="O11" s="402"/>
      <c r="P11" s="402"/>
      <c r="Q11" s="402"/>
      <c r="R11" s="402"/>
      <c r="S11" s="402"/>
      <c r="T11" s="402"/>
      <c r="U11" s="402"/>
      <c r="V11" s="402"/>
      <c r="W11" s="402"/>
      <c r="X11" s="402"/>
      <c r="Y11" s="402"/>
      <c r="Z11" s="402"/>
      <c r="AA11" s="402"/>
      <c r="AB11" s="402"/>
      <c r="AC11" s="402"/>
      <c r="AD11" s="402"/>
      <c r="AE11" s="402"/>
      <c r="AF11" s="403"/>
    </row>
    <row r="12" spans="1:32" s="102" customFormat="1" ht="15.75" customHeight="1" x14ac:dyDescent="0.2">
      <c r="A12" s="367" t="s">
        <v>1</v>
      </c>
      <c r="B12" s="368"/>
      <c r="C12" s="368"/>
      <c r="D12" s="368"/>
      <c r="E12" s="368"/>
      <c r="F12" s="368"/>
      <c r="G12" s="368"/>
      <c r="H12" s="368"/>
      <c r="I12" s="368"/>
      <c r="J12" s="368"/>
      <c r="K12" s="368"/>
      <c r="L12" s="368"/>
      <c r="M12" s="368"/>
      <c r="N12" s="368"/>
      <c r="O12" s="368"/>
      <c r="P12" s="368"/>
      <c r="Q12" s="369"/>
      <c r="R12" s="370" t="s">
        <v>15</v>
      </c>
      <c r="S12" s="371"/>
      <c r="T12" s="371"/>
      <c r="U12" s="371"/>
      <c r="V12" s="372"/>
      <c r="W12" s="370" t="s">
        <v>16</v>
      </c>
      <c r="X12" s="368"/>
      <c r="Y12" s="368"/>
      <c r="Z12" s="368"/>
      <c r="AA12" s="369"/>
      <c r="AB12" s="370" t="s">
        <v>2</v>
      </c>
      <c r="AC12" s="368"/>
      <c r="AD12" s="368"/>
      <c r="AE12" s="368"/>
      <c r="AF12" s="379"/>
    </row>
    <row r="13" spans="1:32" ht="30.75" customHeight="1" x14ac:dyDescent="0.2">
      <c r="A13" s="383" t="s">
        <v>182</v>
      </c>
      <c r="B13" s="384"/>
      <c r="C13" s="384"/>
      <c r="D13" s="384"/>
      <c r="E13" s="384"/>
      <c r="F13" s="384"/>
      <c r="G13" s="384"/>
      <c r="H13" s="384"/>
      <c r="I13" s="384"/>
      <c r="J13" s="384"/>
      <c r="K13" s="384"/>
      <c r="L13" s="384"/>
      <c r="M13" s="384"/>
      <c r="N13" s="384"/>
      <c r="O13" s="384"/>
      <c r="P13" s="384"/>
      <c r="Q13" s="385"/>
      <c r="R13" s="376"/>
      <c r="S13" s="377"/>
      <c r="T13" s="377"/>
      <c r="U13" s="377"/>
      <c r="V13" s="378"/>
      <c r="W13" s="380"/>
      <c r="X13" s="381"/>
      <c r="Y13" s="381"/>
      <c r="Z13" s="381"/>
      <c r="AA13" s="382"/>
      <c r="AB13" s="373"/>
      <c r="AC13" s="374"/>
      <c r="AD13" s="374"/>
      <c r="AE13" s="374"/>
      <c r="AF13" s="375"/>
    </row>
    <row r="14" spans="1:32" ht="22.5" customHeight="1" x14ac:dyDescent="0.2">
      <c r="A14" s="169"/>
      <c r="B14" s="422"/>
      <c r="C14" s="422"/>
      <c r="D14" s="422"/>
      <c r="E14" s="422"/>
      <c r="F14" s="422"/>
      <c r="G14" s="422"/>
      <c r="H14" s="422"/>
      <c r="I14" s="422"/>
      <c r="J14" s="422"/>
      <c r="K14" s="422"/>
      <c r="L14" s="422"/>
      <c r="M14" s="422"/>
      <c r="N14" s="422"/>
      <c r="O14" s="422"/>
      <c r="P14" s="422"/>
      <c r="Q14" s="162"/>
      <c r="R14" s="340" t="str">
        <f>IFERROR(VLOOKUP($AB$3,'Fund Source'!$B:$D,2,FALSE),"")</f>
        <v>15-03-01-03</v>
      </c>
      <c r="S14" s="289"/>
      <c r="T14" s="289"/>
      <c r="U14" s="289"/>
      <c r="V14" s="290"/>
      <c r="W14" s="426" t="str">
        <f>IFERROR(VLOOKUP($AB$3,'Fund Source'!$B:$D,3,FALSE),"")</f>
        <v>200000-10000-1000</v>
      </c>
      <c r="X14" s="427"/>
      <c r="Y14" s="427"/>
      <c r="Z14" s="427"/>
      <c r="AA14" s="428"/>
      <c r="AB14" s="423">
        <f>'Itinerary (3 copies)'!I13</f>
        <v>8116</v>
      </c>
      <c r="AC14" s="424"/>
      <c r="AD14" s="424"/>
      <c r="AE14" s="424"/>
      <c r="AF14" s="425"/>
    </row>
    <row r="15" spans="1:32" ht="27.75" customHeight="1" x14ac:dyDescent="0.2">
      <c r="A15" s="169"/>
      <c r="B15" s="161"/>
      <c r="C15" s="161"/>
      <c r="D15" s="161"/>
      <c r="E15" s="161"/>
      <c r="F15" s="161"/>
      <c r="G15" s="161"/>
      <c r="H15" s="161"/>
      <c r="I15" s="161"/>
      <c r="J15" s="161"/>
      <c r="K15" s="161"/>
      <c r="L15" s="161"/>
      <c r="M15" s="161"/>
      <c r="N15" s="161"/>
      <c r="O15" s="161"/>
      <c r="P15" s="161"/>
      <c r="Q15" s="162"/>
      <c r="R15" s="160"/>
      <c r="S15" s="161"/>
      <c r="T15" s="161"/>
      <c r="U15" s="161"/>
      <c r="V15" s="162"/>
      <c r="W15" s="429" t="str">
        <f>AB3</f>
        <v>STO-REG-ALMED</v>
      </c>
      <c r="X15" s="430"/>
      <c r="Y15" s="430"/>
      <c r="Z15" s="430"/>
      <c r="AA15" s="431"/>
      <c r="AB15" s="163"/>
      <c r="AC15" s="164"/>
      <c r="AD15" s="164"/>
      <c r="AE15" s="164"/>
      <c r="AF15" s="165"/>
    </row>
    <row r="16" spans="1:32" ht="13.5" customHeight="1" x14ac:dyDescent="0.2">
      <c r="A16" s="169"/>
      <c r="B16" s="161"/>
      <c r="C16" s="161"/>
      <c r="D16" s="161"/>
      <c r="E16" s="161"/>
      <c r="F16" s="161"/>
      <c r="G16" s="161"/>
      <c r="H16" s="161"/>
      <c r="I16" s="161"/>
      <c r="J16" s="161"/>
      <c r="K16" s="161"/>
      <c r="L16" s="161"/>
      <c r="M16" s="161"/>
      <c r="N16" s="161"/>
      <c r="O16" s="161"/>
      <c r="P16" s="161"/>
      <c r="Q16" s="162"/>
      <c r="R16" s="160"/>
      <c r="S16" s="161"/>
      <c r="T16" s="161"/>
      <c r="U16" s="161"/>
      <c r="V16" s="162"/>
      <c r="W16" s="166"/>
      <c r="X16" s="167"/>
      <c r="Y16" s="167"/>
      <c r="Z16" s="167"/>
      <c r="AA16" s="168"/>
      <c r="AB16" s="163"/>
      <c r="AC16" s="164"/>
      <c r="AD16" s="164"/>
      <c r="AE16" s="164"/>
      <c r="AF16" s="165"/>
    </row>
    <row r="17" spans="1:32" ht="15" customHeight="1" x14ac:dyDescent="0.2">
      <c r="A17" s="142"/>
      <c r="B17" s="346" t="s">
        <v>223</v>
      </c>
      <c r="C17" s="346"/>
      <c r="D17" s="346"/>
      <c r="E17" s="346"/>
      <c r="F17" s="346"/>
      <c r="G17" s="346"/>
      <c r="H17" s="346"/>
      <c r="I17" s="346"/>
      <c r="J17" s="346"/>
      <c r="K17" s="346"/>
      <c r="L17" s="346"/>
      <c r="M17" s="346"/>
      <c r="N17" s="346"/>
      <c r="O17" s="346"/>
      <c r="P17" s="346"/>
      <c r="Q17" s="347"/>
      <c r="R17" s="101"/>
      <c r="S17" s="150"/>
      <c r="T17" s="150"/>
      <c r="U17" s="150"/>
      <c r="V17" s="90"/>
      <c r="AB17" s="98"/>
      <c r="AC17" s="144"/>
      <c r="AD17" s="144"/>
      <c r="AE17" s="144"/>
      <c r="AF17" s="152"/>
    </row>
    <row r="18" spans="1:32" ht="12.75" customHeight="1" x14ac:dyDescent="0.2">
      <c r="A18" s="142"/>
      <c r="B18" s="348" t="s">
        <v>224</v>
      </c>
      <c r="C18" s="348"/>
      <c r="D18" s="348"/>
      <c r="E18" s="348"/>
      <c r="F18" s="348"/>
      <c r="G18" s="348"/>
      <c r="H18" s="348"/>
      <c r="I18" s="348"/>
      <c r="J18" s="348"/>
      <c r="K18" s="348"/>
      <c r="L18" s="348"/>
      <c r="M18" s="348"/>
      <c r="N18" s="348"/>
      <c r="O18" s="348"/>
      <c r="P18" s="348"/>
      <c r="Q18" s="349"/>
      <c r="R18" s="101"/>
      <c r="S18" s="150"/>
      <c r="T18" s="150"/>
      <c r="U18" s="150"/>
      <c r="V18" s="90"/>
      <c r="W18" s="100"/>
      <c r="X18" s="143"/>
      <c r="Y18" s="143"/>
      <c r="Z18" s="143"/>
      <c r="AA18" s="99"/>
      <c r="AB18" s="98"/>
      <c r="AC18" s="144"/>
      <c r="AD18" s="144"/>
      <c r="AE18" s="144"/>
      <c r="AF18" s="152"/>
    </row>
    <row r="19" spans="1:32" ht="19.5" customHeight="1" x14ac:dyDescent="0.2">
      <c r="A19" s="77"/>
      <c r="B19" s="348" t="s">
        <v>225</v>
      </c>
      <c r="C19" s="348"/>
      <c r="D19" s="348"/>
      <c r="E19" s="348"/>
      <c r="F19" s="348"/>
      <c r="G19" s="348"/>
      <c r="H19" s="348"/>
      <c r="I19" s="348"/>
      <c r="J19" s="348"/>
      <c r="K19" s="348"/>
      <c r="L19" s="348"/>
      <c r="M19" s="348"/>
      <c r="N19" s="348"/>
      <c r="O19" s="348"/>
      <c r="P19" s="348"/>
      <c r="Q19" s="349"/>
      <c r="R19" s="97"/>
      <c r="V19" s="96"/>
      <c r="W19" s="97"/>
      <c r="AA19" s="96"/>
      <c r="AB19" s="132"/>
      <c r="AC19" s="141"/>
      <c r="AD19" s="141"/>
      <c r="AE19" s="141"/>
      <c r="AF19" s="133"/>
    </row>
    <row r="20" spans="1:32" ht="16.5" customHeight="1" x14ac:dyDescent="0.2">
      <c r="A20" s="358" t="s">
        <v>109</v>
      </c>
      <c r="B20" s="359"/>
      <c r="C20" s="359"/>
      <c r="D20" s="359"/>
      <c r="E20" s="359"/>
      <c r="F20" s="359"/>
      <c r="G20" s="359"/>
      <c r="H20" s="359"/>
      <c r="I20" s="359"/>
      <c r="J20" s="359"/>
      <c r="K20" s="359"/>
      <c r="L20" s="359"/>
      <c r="M20" s="359"/>
      <c r="N20" s="359"/>
      <c r="O20" s="359"/>
      <c r="P20" s="359"/>
      <c r="Q20" s="360"/>
      <c r="R20" s="117"/>
      <c r="S20" s="118"/>
      <c r="T20" s="118"/>
      <c r="U20" s="118"/>
      <c r="V20" s="119"/>
      <c r="W20" s="117"/>
      <c r="X20" s="118"/>
      <c r="Y20" s="118"/>
      <c r="Z20" s="118"/>
      <c r="AA20" s="119"/>
      <c r="AB20" s="364">
        <f>SUM(AB13:AF19)</f>
        <v>8116</v>
      </c>
      <c r="AC20" s="365"/>
      <c r="AD20" s="365"/>
      <c r="AE20" s="365"/>
      <c r="AF20" s="366"/>
    </row>
    <row r="21" spans="1:32" ht="14.1" customHeight="1" x14ac:dyDescent="0.2">
      <c r="A21" s="116" t="s">
        <v>19</v>
      </c>
      <c r="B21" s="356" t="s">
        <v>108</v>
      </c>
      <c r="C21" s="356"/>
      <c r="D21" s="356"/>
      <c r="E21" s="356"/>
      <c r="F21" s="356"/>
      <c r="G21" s="356"/>
      <c r="H21" s="356"/>
      <c r="I21" s="356"/>
      <c r="J21" s="356"/>
      <c r="K21" s="356"/>
      <c r="L21" s="356"/>
      <c r="M21" s="356"/>
      <c r="N21" s="356"/>
      <c r="O21" s="356"/>
      <c r="P21" s="356"/>
      <c r="Q21" s="356"/>
      <c r="R21" s="356"/>
      <c r="S21" s="356"/>
      <c r="T21" s="356"/>
      <c r="U21" s="356"/>
      <c r="V21" s="356"/>
      <c r="W21" s="356"/>
      <c r="X21" s="356"/>
      <c r="Y21" s="356"/>
      <c r="Z21" s="356"/>
      <c r="AA21" s="356"/>
      <c r="AB21" s="356"/>
      <c r="AC21" s="356"/>
      <c r="AD21" s="356"/>
      <c r="AE21" s="356"/>
      <c r="AF21" s="357"/>
    </row>
    <row r="22" spans="1:32" ht="25.35" customHeight="1" x14ac:dyDescent="0.2">
      <c r="A22" s="9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53"/>
    </row>
    <row r="23" spans="1:32" x14ac:dyDescent="0.2">
      <c r="A23" s="95"/>
      <c r="B23" s="353" t="s">
        <v>167</v>
      </c>
      <c r="C23" s="354"/>
      <c r="D23" s="354"/>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5"/>
    </row>
    <row r="24" spans="1:32" ht="13.5" thickBot="1" x14ac:dyDescent="0.25">
      <c r="A24" s="95"/>
      <c r="B24" s="146"/>
      <c r="C24" s="146"/>
      <c r="D24" s="146"/>
      <c r="L24" s="361" t="s">
        <v>168</v>
      </c>
      <c r="M24" s="361"/>
      <c r="N24" s="361"/>
      <c r="O24" s="361"/>
      <c r="P24" s="361"/>
      <c r="Q24" s="361"/>
      <c r="R24" s="361"/>
      <c r="S24" s="361"/>
      <c r="T24" s="361"/>
      <c r="U24" s="361"/>
      <c r="V24" s="361"/>
      <c r="W24" s="361"/>
      <c r="X24" s="361"/>
      <c r="Y24" s="141"/>
      <c r="Z24" s="147"/>
      <c r="AA24" s="147"/>
      <c r="AB24" s="148"/>
      <c r="AC24" s="149"/>
      <c r="AD24" s="149"/>
      <c r="AE24" s="149"/>
      <c r="AF24" s="154"/>
    </row>
    <row r="25" spans="1:32" ht="15.75" customHeight="1" x14ac:dyDescent="0.2">
      <c r="A25" s="94" t="s">
        <v>20</v>
      </c>
      <c r="B25" s="93" t="s">
        <v>107</v>
      </c>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155"/>
    </row>
    <row r="26" spans="1:32" ht="15.75" customHeight="1" x14ac:dyDescent="0.2">
      <c r="A26" s="350" t="s">
        <v>106</v>
      </c>
      <c r="B26" s="351"/>
      <c r="C26" s="351"/>
      <c r="D26" s="351"/>
      <c r="E26" s="351"/>
      <c r="F26" s="351"/>
      <c r="G26" s="351"/>
      <c r="H26" s="351"/>
      <c r="I26" s="351"/>
      <c r="J26" s="351"/>
      <c r="K26" s="351"/>
      <c r="L26" s="351"/>
      <c r="M26" s="351"/>
      <c r="N26" s="351"/>
      <c r="O26" s="351"/>
      <c r="P26" s="351"/>
      <c r="Q26" s="351"/>
      <c r="R26" s="351"/>
      <c r="S26" s="351" t="s">
        <v>105</v>
      </c>
      <c r="T26" s="351"/>
      <c r="U26" s="351"/>
      <c r="V26" s="351"/>
      <c r="W26" s="351"/>
      <c r="X26" s="352" t="s">
        <v>104</v>
      </c>
      <c r="Y26" s="352"/>
      <c r="Z26" s="352"/>
      <c r="AA26" s="352"/>
      <c r="AB26" s="352"/>
      <c r="AC26" s="362" t="s">
        <v>103</v>
      </c>
      <c r="AD26" s="362"/>
      <c r="AE26" s="362"/>
      <c r="AF26" s="363"/>
    </row>
    <row r="27" spans="1:32" ht="15.75" customHeight="1" x14ac:dyDescent="0.2">
      <c r="A27" s="91"/>
      <c r="B27" s="404" t="s">
        <v>176</v>
      </c>
      <c r="C27" s="404"/>
      <c r="D27" s="404"/>
      <c r="E27" s="404"/>
      <c r="F27" s="404"/>
      <c r="G27" s="404"/>
      <c r="H27" s="404"/>
      <c r="I27" s="404"/>
      <c r="J27" s="404"/>
      <c r="K27" s="404"/>
      <c r="L27" s="404"/>
      <c r="M27" s="404"/>
      <c r="N27" s="404"/>
      <c r="O27" s="404"/>
      <c r="P27" s="404"/>
      <c r="Q27" s="404"/>
      <c r="R27" s="135"/>
      <c r="S27" s="150"/>
      <c r="T27" s="261" t="s">
        <v>178</v>
      </c>
      <c r="U27" s="261"/>
      <c r="V27" s="261"/>
      <c r="W27" s="134"/>
      <c r="X27" s="141"/>
      <c r="Y27" s="141"/>
      <c r="Z27" s="141"/>
      <c r="AA27" s="141"/>
      <c r="AB27" s="135"/>
      <c r="AC27" s="141"/>
      <c r="AD27" s="141"/>
      <c r="AE27" s="141"/>
      <c r="AF27" s="133"/>
    </row>
    <row r="28" spans="1:32" ht="15.75" customHeight="1" thickBot="1" x14ac:dyDescent="0.25">
      <c r="A28" s="91"/>
      <c r="B28" s="151"/>
      <c r="C28" s="405" t="s">
        <v>177</v>
      </c>
      <c r="D28" s="405"/>
      <c r="E28" s="405"/>
      <c r="F28" s="405"/>
      <c r="G28" s="405"/>
      <c r="H28" s="405"/>
      <c r="I28" s="405"/>
      <c r="J28" s="405"/>
      <c r="K28" s="405"/>
      <c r="L28" s="405"/>
      <c r="M28" s="405"/>
      <c r="N28" s="405"/>
      <c r="O28" s="405"/>
      <c r="P28" s="405"/>
      <c r="Q28" s="405"/>
      <c r="R28" s="406"/>
      <c r="S28" s="340" t="s">
        <v>179</v>
      </c>
      <c r="T28" s="289"/>
      <c r="U28" s="289"/>
      <c r="V28" s="289"/>
      <c r="W28" s="290"/>
      <c r="X28" s="141"/>
      <c r="Y28" s="141"/>
      <c r="Z28" s="141"/>
      <c r="AA28" s="141"/>
      <c r="AB28" s="137"/>
      <c r="AC28" s="141"/>
      <c r="AD28" s="141"/>
      <c r="AE28" s="141"/>
      <c r="AF28" s="133"/>
    </row>
    <row r="29" spans="1:32" ht="15.75" customHeight="1" x14ac:dyDescent="0.2">
      <c r="A29" s="83" t="s">
        <v>26</v>
      </c>
      <c r="B29" s="82" t="s">
        <v>38</v>
      </c>
      <c r="C29" s="82"/>
      <c r="D29" s="82"/>
      <c r="E29" s="89"/>
      <c r="F29" s="89"/>
      <c r="G29" s="89"/>
      <c r="H29" s="89"/>
      <c r="I29" s="89"/>
      <c r="J29" s="89"/>
      <c r="K29" s="89"/>
      <c r="L29" s="89"/>
      <c r="M29" s="89"/>
      <c r="N29" s="89"/>
      <c r="O29" s="89"/>
      <c r="P29" s="89"/>
      <c r="Q29" s="89"/>
      <c r="R29" s="88"/>
      <c r="S29" s="83" t="s">
        <v>102</v>
      </c>
      <c r="T29" s="344" t="s">
        <v>101</v>
      </c>
      <c r="U29" s="344"/>
      <c r="V29" s="344"/>
      <c r="W29" s="344"/>
      <c r="X29" s="344"/>
      <c r="Y29" s="344"/>
      <c r="Z29" s="344"/>
      <c r="AA29" s="344"/>
      <c r="AB29" s="344"/>
      <c r="AC29" s="344"/>
      <c r="AD29" s="344"/>
      <c r="AE29" s="87"/>
      <c r="AF29" s="156"/>
    </row>
    <row r="30" spans="1:32" ht="13.5" customHeight="1" x14ac:dyDescent="0.2">
      <c r="A30" s="157"/>
      <c r="B30" s="86"/>
      <c r="C30" s="78" t="s">
        <v>100</v>
      </c>
      <c r="D30" s="78"/>
      <c r="E30" s="78"/>
      <c r="F30" s="78"/>
      <c r="G30" s="78"/>
      <c r="H30" s="78"/>
      <c r="I30" s="78"/>
      <c r="J30" s="78"/>
      <c r="K30" s="78"/>
      <c r="L30" s="78"/>
      <c r="M30" s="78"/>
      <c r="N30" s="78"/>
      <c r="O30" s="78"/>
      <c r="P30" s="78"/>
      <c r="Q30" s="78"/>
      <c r="R30" s="158"/>
      <c r="S30" s="331"/>
      <c r="T30" s="332"/>
      <c r="U30" s="332"/>
      <c r="V30" s="332"/>
      <c r="W30" s="332"/>
      <c r="X30" s="332"/>
      <c r="Y30" s="332"/>
      <c r="Z30" s="332"/>
      <c r="AA30" s="332"/>
      <c r="AB30" s="332"/>
      <c r="AC30" s="332"/>
      <c r="AD30" s="332"/>
      <c r="AE30" s="332"/>
      <c r="AF30" s="333"/>
    </row>
    <row r="31" spans="1:32" ht="4.5" customHeight="1" x14ac:dyDescent="0.2">
      <c r="A31" s="330"/>
      <c r="B31" s="284"/>
      <c r="C31" s="284"/>
      <c r="D31" s="284"/>
      <c r="E31" s="284"/>
      <c r="F31" s="284"/>
      <c r="G31" s="284"/>
      <c r="R31" s="75"/>
      <c r="S31" s="334"/>
      <c r="T31" s="335"/>
      <c r="U31" s="335"/>
      <c r="V31" s="335"/>
      <c r="W31" s="335"/>
      <c r="X31" s="335"/>
      <c r="Y31" s="335"/>
      <c r="Z31" s="335"/>
      <c r="AA31" s="335"/>
      <c r="AB31" s="335"/>
      <c r="AC31" s="335"/>
      <c r="AD31" s="335"/>
      <c r="AE31" s="335"/>
      <c r="AF31" s="336"/>
    </row>
    <row r="32" spans="1:32" ht="11.25" customHeight="1" x14ac:dyDescent="0.2">
      <c r="A32" s="74"/>
      <c r="B32" s="86"/>
      <c r="C32" s="73" t="s">
        <v>99</v>
      </c>
      <c r="R32" s="75"/>
      <c r="S32" s="334"/>
      <c r="T32" s="335"/>
      <c r="U32" s="335"/>
      <c r="V32" s="335"/>
      <c r="W32" s="335"/>
      <c r="X32" s="335"/>
      <c r="Y32" s="335"/>
      <c r="Z32" s="335"/>
      <c r="AA32" s="335"/>
      <c r="AB32" s="335"/>
      <c r="AC32" s="335"/>
      <c r="AD32" s="335"/>
      <c r="AE32" s="335"/>
      <c r="AF32" s="336"/>
    </row>
    <row r="33" spans="1:32" ht="7.5" customHeight="1" x14ac:dyDescent="0.2">
      <c r="A33" s="330"/>
      <c r="B33" s="284"/>
      <c r="C33" s="284"/>
      <c r="D33" s="284"/>
      <c r="E33" s="284"/>
      <c r="F33" s="284"/>
      <c r="G33" s="284"/>
      <c r="H33" s="284"/>
      <c r="I33" s="284"/>
      <c r="J33" s="284"/>
      <c r="K33" s="284"/>
      <c r="L33" s="284"/>
      <c r="M33" s="284"/>
      <c r="N33" s="284"/>
      <c r="O33" s="284"/>
      <c r="P33" s="284"/>
      <c r="Q33" s="284"/>
      <c r="R33" s="285"/>
      <c r="S33" s="334"/>
      <c r="T33" s="335"/>
      <c r="U33" s="335"/>
      <c r="V33" s="335"/>
      <c r="W33" s="335"/>
      <c r="X33" s="335"/>
      <c r="Y33" s="335"/>
      <c r="Z33" s="335"/>
      <c r="AA33" s="335"/>
      <c r="AB33" s="335"/>
      <c r="AC33" s="335"/>
      <c r="AD33" s="335"/>
      <c r="AE33" s="335"/>
      <c r="AF33" s="336"/>
    </row>
    <row r="34" spans="1:32" ht="11.25" customHeight="1" x14ac:dyDescent="0.2">
      <c r="A34" s="74"/>
      <c r="B34" s="86"/>
      <c r="C34" s="73" t="s">
        <v>98</v>
      </c>
      <c r="D34" s="73" t="s">
        <v>98</v>
      </c>
      <c r="R34" s="75"/>
      <c r="S34" s="334"/>
      <c r="T34" s="335"/>
      <c r="U34" s="335"/>
      <c r="V34" s="335"/>
      <c r="W34" s="335"/>
      <c r="X34" s="335"/>
      <c r="Y34" s="335"/>
      <c r="Z34" s="335"/>
      <c r="AA34" s="335"/>
      <c r="AB34" s="335"/>
      <c r="AC34" s="335"/>
      <c r="AD34" s="335"/>
      <c r="AE34" s="335"/>
      <c r="AF34" s="336"/>
    </row>
    <row r="35" spans="1:32" ht="11.25" customHeight="1" x14ac:dyDescent="0.2">
      <c r="A35" s="85"/>
      <c r="B35" s="79"/>
      <c r="C35" s="159" t="s">
        <v>97</v>
      </c>
      <c r="D35" s="79"/>
      <c r="E35" s="79"/>
      <c r="F35" s="79"/>
      <c r="G35" s="79"/>
      <c r="H35" s="79"/>
      <c r="I35" s="79"/>
      <c r="J35" s="79"/>
      <c r="K35" s="79"/>
      <c r="L35" s="79"/>
      <c r="M35" s="79"/>
      <c r="N35" s="79"/>
      <c r="O35" s="79"/>
      <c r="P35" s="79"/>
      <c r="Q35" s="79"/>
      <c r="R35" s="84"/>
      <c r="S35" s="337"/>
      <c r="T35" s="338"/>
      <c r="U35" s="338"/>
      <c r="V35" s="338"/>
      <c r="W35" s="338"/>
      <c r="X35" s="338"/>
      <c r="Y35" s="338"/>
      <c r="Z35" s="338"/>
      <c r="AA35" s="338"/>
      <c r="AB35" s="338"/>
      <c r="AC35" s="338"/>
      <c r="AD35" s="338"/>
      <c r="AE35" s="338"/>
      <c r="AF35" s="339"/>
    </row>
    <row r="36" spans="1:32" ht="15" customHeight="1" x14ac:dyDescent="0.2">
      <c r="A36" s="279" t="s">
        <v>3</v>
      </c>
      <c r="B36" s="280"/>
      <c r="C36" s="280"/>
      <c r="D36" s="280"/>
      <c r="E36" s="283"/>
      <c r="F36" s="284"/>
      <c r="G36" s="284"/>
      <c r="H36" s="284"/>
      <c r="I36" s="284"/>
      <c r="J36" s="284"/>
      <c r="K36" s="284"/>
      <c r="L36" s="284"/>
      <c r="M36" s="284"/>
      <c r="N36" s="284"/>
      <c r="O36" s="284"/>
      <c r="P36" s="284"/>
      <c r="Q36" s="284"/>
      <c r="R36" s="285"/>
      <c r="S36" s="279" t="s">
        <v>3</v>
      </c>
      <c r="T36" s="289"/>
      <c r="U36" s="289"/>
      <c r="V36" s="290"/>
      <c r="W36" s="340"/>
      <c r="X36" s="289"/>
      <c r="Y36" s="289"/>
      <c r="Z36" s="289"/>
      <c r="AA36" s="289"/>
      <c r="AB36" s="289"/>
      <c r="AC36" s="289"/>
      <c r="AD36" s="289"/>
      <c r="AE36" s="289"/>
      <c r="AF36" s="341"/>
    </row>
    <row r="37" spans="1:32" x14ac:dyDescent="0.2">
      <c r="A37" s="281"/>
      <c r="B37" s="282"/>
      <c r="C37" s="282"/>
      <c r="D37" s="282"/>
      <c r="E37" s="286"/>
      <c r="F37" s="287"/>
      <c r="G37" s="287"/>
      <c r="H37" s="287"/>
      <c r="I37" s="287"/>
      <c r="J37" s="287"/>
      <c r="K37" s="287"/>
      <c r="L37" s="287"/>
      <c r="M37" s="287"/>
      <c r="N37" s="287"/>
      <c r="O37" s="287"/>
      <c r="P37" s="287"/>
      <c r="Q37" s="287"/>
      <c r="R37" s="288"/>
      <c r="S37" s="263"/>
      <c r="T37" s="264"/>
      <c r="U37" s="264"/>
      <c r="V37" s="265"/>
      <c r="W37" s="342"/>
      <c r="X37" s="264"/>
      <c r="Y37" s="264"/>
      <c r="Z37" s="264"/>
      <c r="AA37" s="264"/>
      <c r="AB37" s="264"/>
      <c r="AC37" s="264"/>
      <c r="AD37" s="264"/>
      <c r="AE37" s="264"/>
      <c r="AF37" s="343"/>
    </row>
    <row r="38" spans="1:32" ht="15" customHeight="1" x14ac:dyDescent="0.2">
      <c r="A38" s="260" t="s">
        <v>4</v>
      </c>
      <c r="B38" s="292"/>
      <c r="C38" s="292"/>
      <c r="D38" s="293"/>
      <c r="E38" s="270" t="s">
        <v>96</v>
      </c>
      <c r="F38" s="271"/>
      <c r="G38" s="271"/>
      <c r="H38" s="271"/>
      <c r="I38" s="271"/>
      <c r="J38" s="271"/>
      <c r="K38" s="271"/>
      <c r="L38" s="271"/>
      <c r="M38" s="271"/>
      <c r="N38" s="271"/>
      <c r="O38" s="271"/>
      <c r="P38" s="271"/>
      <c r="Q38" s="271"/>
      <c r="R38" s="272"/>
      <c r="S38" s="260" t="s">
        <v>4</v>
      </c>
      <c r="T38" s="261"/>
      <c r="U38" s="261"/>
      <c r="V38" s="262"/>
      <c r="W38" s="270" t="s">
        <v>67</v>
      </c>
      <c r="X38" s="271"/>
      <c r="Y38" s="271"/>
      <c r="Z38" s="271"/>
      <c r="AA38" s="271"/>
      <c r="AB38" s="271"/>
      <c r="AC38" s="271"/>
      <c r="AD38" s="271"/>
      <c r="AE38" s="271"/>
      <c r="AF38" s="272"/>
    </row>
    <row r="39" spans="1:32" x14ac:dyDescent="0.2">
      <c r="A39" s="281"/>
      <c r="B39" s="282"/>
      <c r="C39" s="282"/>
      <c r="D39" s="294"/>
      <c r="E39" s="273"/>
      <c r="F39" s="274"/>
      <c r="G39" s="274"/>
      <c r="H39" s="274"/>
      <c r="I39" s="274"/>
      <c r="J39" s="274"/>
      <c r="K39" s="274"/>
      <c r="L39" s="274"/>
      <c r="M39" s="274"/>
      <c r="N39" s="274"/>
      <c r="O39" s="274"/>
      <c r="P39" s="274"/>
      <c r="Q39" s="274"/>
      <c r="R39" s="275"/>
      <c r="S39" s="263"/>
      <c r="T39" s="264"/>
      <c r="U39" s="264"/>
      <c r="V39" s="265"/>
      <c r="W39" s="273"/>
      <c r="X39" s="274"/>
      <c r="Y39" s="274"/>
      <c r="Z39" s="274"/>
      <c r="AA39" s="274"/>
      <c r="AB39" s="274"/>
      <c r="AC39" s="274"/>
      <c r="AD39" s="274"/>
      <c r="AE39" s="274"/>
      <c r="AF39" s="275"/>
    </row>
    <row r="40" spans="1:32" ht="18" customHeight="1" x14ac:dyDescent="0.2">
      <c r="A40" s="260" t="s">
        <v>94</v>
      </c>
      <c r="B40" s="261"/>
      <c r="C40" s="261"/>
      <c r="D40" s="262"/>
      <c r="E40" s="266" t="s">
        <v>95</v>
      </c>
      <c r="F40" s="267"/>
      <c r="G40" s="267"/>
      <c r="H40" s="267"/>
      <c r="I40" s="267"/>
      <c r="J40" s="267"/>
      <c r="K40" s="267"/>
      <c r="L40" s="267"/>
      <c r="M40" s="267"/>
      <c r="N40" s="267"/>
      <c r="O40" s="267"/>
      <c r="P40" s="267"/>
      <c r="Q40" s="267"/>
      <c r="R40" s="291"/>
      <c r="S40" s="260" t="s">
        <v>94</v>
      </c>
      <c r="T40" s="261"/>
      <c r="U40" s="261"/>
      <c r="V40" s="262"/>
      <c r="W40" s="266" t="s">
        <v>165</v>
      </c>
      <c r="X40" s="267"/>
      <c r="Y40" s="267"/>
      <c r="Z40" s="267"/>
      <c r="AA40" s="267"/>
      <c r="AB40" s="267"/>
      <c r="AC40" s="267"/>
      <c r="AD40" s="267"/>
      <c r="AE40" s="267"/>
      <c r="AF40" s="291"/>
    </row>
    <row r="41" spans="1:32" ht="15.6" customHeight="1" x14ac:dyDescent="0.2">
      <c r="A41" s="263"/>
      <c r="B41" s="264"/>
      <c r="C41" s="264"/>
      <c r="D41" s="265"/>
      <c r="E41" s="266"/>
      <c r="F41" s="267"/>
      <c r="G41" s="267"/>
      <c r="H41" s="267"/>
      <c r="I41" s="267"/>
      <c r="J41" s="267"/>
      <c r="K41" s="267"/>
      <c r="L41" s="267"/>
      <c r="M41" s="267"/>
      <c r="N41" s="268"/>
      <c r="O41" s="268"/>
      <c r="P41" s="268"/>
      <c r="Q41" s="268"/>
      <c r="R41" s="269"/>
      <c r="S41" s="263"/>
      <c r="T41" s="264"/>
      <c r="U41" s="264"/>
      <c r="V41" s="265"/>
      <c r="W41" s="276"/>
      <c r="X41" s="277"/>
      <c r="Y41" s="277"/>
      <c r="Z41" s="277"/>
      <c r="AA41" s="277"/>
      <c r="AB41" s="277"/>
      <c r="AC41" s="277"/>
      <c r="AD41" s="277"/>
      <c r="AE41" s="277"/>
      <c r="AF41" s="278"/>
    </row>
    <row r="42" spans="1:32" ht="4.5" customHeight="1" x14ac:dyDescent="0.2">
      <c r="A42" s="260" t="s">
        <v>0</v>
      </c>
      <c r="B42" s="261"/>
      <c r="C42" s="261"/>
      <c r="D42" s="262"/>
      <c r="E42" s="283"/>
      <c r="F42" s="284"/>
      <c r="G42" s="284"/>
      <c r="H42" s="284"/>
      <c r="I42" s="284"/>
      <c r="J42" s="284"/>
      <c r="K42" s="284"/>
      <c r="L42" s="284"/>
      <c r="M42" s="284"/>
      <c r="N42" s="284"/>
      <c r="O42" s="284"/>
      <c r="P42" s="284"/>
      <c r="Q42" s="284"/>
      <c r="R42" s="285"/>
      <c r="S42" s="260" t="s">
        <v>0</v>
      </c>
      <c r="T42" s="261"/>
      <c r="U42" s="261"/>
      <c r="V42" s="262"/>
      <c r="W42" s="314"/>
      <c r="X42" s="261"/>
      <c r="Y42" s="261"/>
      <c r="Z42" s="261"/>
      <c r="AA42" s="261"/>
      <c r="AB42" s="261"/>
      <c r="AC42" s="261"/>
      <c r="AD42" s="261"/>
      <c r="AE42" s="261"/>
      <c r="AF42" s="315"/>
    </row>
    <row r="43" spans="1:32" ht="15.75" customHeight="1" thickBot="1" x14ac:dyDescent="0.25">
      <c r="A43" s="308"/>
      <c r="B43" s="309"/>
      <c r="C43" s="309"/>
      <c r="D43" s="310"/>
      <c r="E43" s="345"/>
      <c r="F43" s="303"/>
      <c r="G43" s="303"/>
      <c r="H43" s="303"/>
      <c r="I43" s="303"/>
      <c r="J43" s="303"/>
      <c r="K43" s="303"/>
      <c r="L43" s="303"/>
      <c r="M43" s="303"/>
      <c r="N43" s="303"/>
      <c r="O43" s="303"/>
      <c r="P43" s="303"/>
      <c r="Q43" s="303"/>
      <c r="R43" s="304"/>
      <c r="S43" s="311"/>
      <c r="T43" s="312"/>
      <c r="U43" s="312"/>
      <c r="V43" s="313"/>
      <c r="W43" s="316"/>
      <c r="X43" s="312"/>
      <c r="Y43" s="312"/>
      <c r="Z43" s="312"/>
      <c r="AA43" s="312"/>
      <c r="AB43" s="312"/>
      <c r="AC43" s="312"/>
      <c r="AD43" s="312"/>
      <c r="AE43" s="312"/>
      <c r="AF43" s="317"/>
    </row>
    <row r="44" spans="1:32" ht="13.5" customHeight="1" x14ac:dyDescent="0.2">
      <c r="A44" s="83" t="s">
        <v>93</v>
      </c>
      <c r="B44" s="82" t="s">
        <v>92</v>
      </c>
      <c r="C44" s="82"/>
      <c r="D44" s="82"/>
      <c r="E44" s="82"/>
      <c r="F44" s="82"/>
      <c r="G44" s="82"/>
      <c r="H44" s="82"/>
      <c r="I44" s="82"/>
      <c r="J44" s="82"/>
      <c r="K44" s="82"/>
      <c r="L44" s="82"/>
      <c r="M44" s="82"/>
      <c r="N44" s="82"/>
      <c r="O44" s="82"/>
      <c r="P44" s="82"/>
      <c r="Q44" s="82"/>
      <c r="R44" s="82"/>
      <c r="S44" s="82"/>
      <c r="T44" s="82"/>
      <c r="U44" s="82"/>
      <c r="V44" s="82"/>
      <c r="W44" s="82"/>
      <c r="X44" s="82"/>
      <c r="Y44" s="82"/>
      <c r="Z44" s="82"/>
      <c r="AA44" s="81"/>
      <c r="AB44" s="80" t="s">
        <v>91</v>
      </c>
      <c r="AC44" s="80"/>
      <c r="AD44" s="80"/>
      <c r="AE44" s="322"/>
      <c r="AF44" s="323"/>
    </row>
    <row r="45" spans="1:32" ht="12.75" customHeight="1" x14ac:dyDescent="0.2">
      <c r="A45" s="279" t="s">
        <v>90</v>
      </c>
      <c r="B45" s="289"/>
      <c r="C45" s="289"/>
      <c r="E45" s="283"/>
      <c r="F45" s="284"/>
      <c r="G45" s="284"/>
      <c r="H45" s="284"/>
      <c r="I45" s="284"/>
      <c r="J45" s="284"/>
      <c r="K45" s="284"/>
      <c r="L45" s="284"/>
      <c r="M45" s="324"/>
      <c r="N45" s="325" t="s">
        <v>87</v>
      </c>
      <c r="O45" s="326"/>
      <c r="P45" s="326"/>
      <c r="Q45" s="326"/>
      <c r="R45" s="327"/>
      <c r="S45" s="328" t="s">
        <v>89</v>
      </c>
      <c r="T45" s="326"/>
      <c r="U45" s="326"/>
      <c r="V45" s="326"/>
      <c r="W45" s="326"/>
      <c r="X45" s="326"/>
      <c r="Y45" s="326"/>
      <c r="Z45" s="326"/>
      <c r="AA45" s="327"/>
      <c r="AB45" s="141"/>
      <c r="AC45" s="141"/>
      <c r="AD45" s="141"/>
      <c r="AE45" s="141"/>
      <c r="AF45" s="133"/>
    </row>
    <row r="46" spans="1:32" ht="20.25" customHeight="1" x14ac:dyDescent="0.2">
      <c r="A46" s="263"/>
      <c r="B46" s="264"/>
      <c r="C46" s="264"/>
      <c r="D46" s="79"/>
      <c r="E46" s="286"/>
      <c r="F46" s="287"/>
      <c r="G46" s="287"/>
      <c r="H46" s="287"/>
      <c r="I46" s="287"/>
      <c r="J46" s="287"/>
      <c r="K46" s="287"/>
      <c r="L46" s="287"/>
      <c r="M46" s="321"/>
      <c r="N46" s="298"/>
      <c r="O46" s="299"/>
      <c r="P46" s="299"/>
      <c r="Q46" s="299"/>
      <c r="R46" s="300"/>
      <c r="S46" s="298"/>
      <c r="T46" s="299"/>
      <c r="U46" s="299"/>
      <c r="V46" s="299"/>
      <c r="W46" s="299"/>
      <c r="X46" s="299"/>
      <c r="Y46" s="299"/>
      <c r="Z46" s="299"/>
      <c r="AA46" s="300"/>
      <c r="AB46" s="79"/>
      <c r="AC46" s="79"/>
      <c r="AD46" s="136"/>
      <c r="AE46" s="136"/>
      <c r="AF46" s="140"/>
    </row>
    <row r="47" spans="1:32" ht="12.75" customHeight="1" x14ac:dyDescent="0.2">
      <c r="A47" s="260" t="s">
        <v>88</v>
      </c>
      <c r="B47" s="301"/>
      <c r="C47" s="301"/>
      <c r="D47" s="319"/>
      <c r="E47" s="329"/>
      <c r="F47" s="301"/>
      <c r="G47" s="301"/>
      <c r="H47" s="301"/>
      <c r="I47" s="301"/>
      <c r="J47" s="301"/>
      <c r="K47" s="301"/>
      <c r="L47" s="301"/>
      <c r="M47" s="319"/>
      <c r="N47" s="295" t="s">
        <v>87</v>
      </c>
      <c r="O47" s="296"/>
      <c r="P47" s="296"/>
      <c r="Q47" s="296"/>
      <c r="R47" s="297"/>
      <c r="S47" s="295" t="s">
        <v>86</v>
      </c>
      <c r="T47" s="296"/>
      <c r="U47" s="296"/>
      <c r="V47" s="296"/>
      <c r="W47" s="296"/>
      <c r="X47" s="296"/>
      <c r="Y47" s="296"/>
      <c r="Z47" s="296"/>
      <c r="AA47" s="297"/>
      <c r="AB47" s="78" t="s">
        <v>0</v>
      </c>
      <c r="AC47" s="78"/>
      <c r="AD47" s="301"/>
      <c r="AE47" s="301"/>
      <c r="AF47" s="302"/>
    </row>
    <row r="48" spans="1:32" ht="9.6" customHeight="1" x14ac:dyDescent="0.2">
      <c r="A48" s="320"/>
      <c r="B48" s="287"/>
      <c r="C48" s="287"/>
      <c r="D48" s="321"/>
      <c r="E48" s="286"/>
      <c r="F48" s="287"/>
      <c r="G48" s="287"/>
      <c r="H48" s="287"/>
      <c r="I48" s="287"/>
      <c r="J48" s="287"/>
      <c r="K48" s="287"/>
      <c r="L48" s="287"/>
      <c r="M48" s="321"/>
      <c r="N48" s="298"/>
      <c r="O48" s="299"/>
      <c r="P48" s="299"/>
      <c r="Q48" s="299"/>
      <c r="R48" s="300"/>
      <c r="S48" s="298"/>
      <c r="T48" s="299"/>
      <c r="U48" s="299"/>
      <c r="V48" s="299"/>
      <c r="W48" s="299"/>
      <c r="X48" s="299"/>
      <c r="Y48" s="299"/>
      <c r="Z48" s="299"/>
      <c r="AA48" s="300"/>
      <c r="AB48" s="284"/>
      <c r="AC48" s="284"/>
      <c r="AD48" s="284"/>
      <c r="AE48" s="284"/>
      <c r="AF48" s="285"/>
    </row>
    <row r="49" spans="1:34" ht="15.6" customHeight="1" thickBot="1" x14ac:dyDescent="0.25">
      <c r="A49" s="305" t="s">
        <v>85</v>
      </c>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c r="AA49" s="307"/>
      <c r="AB49" s="303"/>
      <c r="AC49" s="303"/>
      <c r="AD49" s="303"/>
      <c r="AE49" s="303"/>
      <c r="AF49" s="304"/>
      <c r="AG49" s="76"/>
      <c r="AH49" s="76"/>
    </row>
  </sheetData>
  <mergeCells count="82">
    <mergeCell ref="B14:P14"/>
    <mergeCell ref="AB14:AF14"/>
    <mergeCell ref="W14:AA14"/>
    <mergeCell ref="R14:V14"/>
    <mergeCell ref="W15:AA15"/>
    <mergeCell ref="B27:Q27"/>
    <mergeCell ref="T27:V27"/>
    <mergeCell ref="S28:W28"/>
    <mergeCell ref="C28:R28"/>
    <mergeCell ref="AB3:AF3"/>
    <mergeCell ref="AB4:AF4"/>
    <mergeCell ref="V3:AA3"/>
    <mergeCell ref="V4:AA4"/>
    <mergeCell ref="AB5:AF5"/>
    <mergeCell ref="V5:AA5"/>
    <mergeCell ref="A6:C8"/>
    <mergeCell ref="E6:AF6"/>
    <mergeCell ref="J8:M8"/>
    <mergeCell ref="O8:T8"/>
    <mergeCell ref="E9:R10"/>
    <mergeCell ref="S9:AA9"/>
    <mergeCell ref="S10:AA10"/>
    <mergeCell ref="A9:C10"/>
    <mergeCell ref="AB10:AF10"/>
    <mergeCell ref="AB9:AF9"/>
    <mergeCell ref="A11:C11"/>
    <mergeCell ref="E11:AF11"/>
    <mergeCell ref="A12:Q12"/>
    <mergeCell ref="R12:V12"/>
    <mergeCell ref="AB13:AF13"/>
    <mergeCell ref="R13:V13"/>
    <mergeCell ref="W12:AA12"/>
    <mergeCell ref="AB12:AF12"/>
    <mergeCell ref="W13:AA13"/>
    <mergeCell ref="A13:Q13"/>
    <mergeCell ref="B19:Q19"/>
    <mergeCell ref="A26:R26"/>
    <mergeCell ref="X26:AB26"/>
    <mergeCell ref="B23:AF23"/>
    <mergeCell ref="B21:AF21"/>
    <mergeCell ref="A20:Q20"/>
    <mergeCell ref="L24:X24"/>
    <mergeCell ref="S26:W26"/>
    <mergeCell ref="AC26:AF26"/>
    <mergeCell ref="AB20:AF20"/>
    <mergeCell ref="A1:AF2"/>
    <mergeCell ref="A47:D48"/>
    <mergeCell ref="AE44:AF44"/>
    <mergeCell ref="A45:C46"/>
    <mergeCell ref="E45:M46"/>
    <mergeCell ref="N45:R46"/>
    <mergeCell ref="S45:AA46"/>
    <mergeCell ref="E47:M48"/>
    <mergeCell ref="A31:G31"/>
    <mergeCell ref="A33:R33"/>
    <mergeCell ref="S30:AF35"/>
    <mergeCell ref="W36:AF37"/>
    <mergeCell ref="T29:AD29"/>
    <mergeCell ref="E42:R43"/>
    <mergeCell ref="B17:Q17"/>
    <mergeCell ref="B18:Q18"/>
    <mergeCell ref="S47:AA48"/>
    <mergeCell ref="AD47:AF47"/>
    <mergeCell ref="AB48:AF49"/>
    <mergeCell ref="A49:AA49"/>
    <mergeCell ref="A42:D43"/>
    <mergeCell ref="S42:V43"/>
    <mergeCell ref="W42:AF43"/>
    <mergeCell ref="N47:R48"/>
    <mergeCell ref="A40:D41"/>
    <mergeCell ref="E41:R41"/>
    <mergeCell ref="E38:R39"/>
    <mergeCell ref="W41:AF41"/>
    <mergeCell ref="A36:D37"/>
    <mergeCell ref="E36:R37"/>
    <mergeCell ref="S36:V37"/>
    <mergeCell ref="E40:R40"/>
    <mergeCell ref="S40:V41"/>
    <mergeCell ref="W40:AF40"/>
    <mergeCell ref="W38:AF39"/>
    <mergeCell ref="A38:D39"/>
    <mergeCell ref="S38:V39"/>
  </mergeCells>
  <pageMargins left="0.61" right="0.6" top="1.1811023622047245" bottom="0.19685039370078741" header="0.31496062992125984" footer="1.07"/>
  <pageSetup paperSize="9" scale="87" orientation="portrait" horizontalDpi="300" verticalDpi="300" r:id="rId1"/>
  <headerFooter>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'Fund Source'!$B$3:$B$6</xm:f>
          </x14:formula1>
          <xm:sqref>AB3:AF3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110" zoomScaleNormal="100" zoomScaleSheetLayoutView="110" workbookViewId="0">
      <selection activeCell="B14" sqref="B14"/>
    </sheetView>
  </sheetViews>
  <sheetFormatPr defaultColWidth="14.42578125" defaultRowHeight="12.75" x14ac:dyDescent="0.2"/>
  <cols>
    <col min="1" max="1" width="12" style="108" customWidth="1"/>
    <col min="2" max="2" width="7.42578125" style="108" customWidth="1"/>
    <col min="3" max="3" width="72.42578125" style="108" customWidth="1"/>
    <col min="4" max="4" width="18.85546875" style="108" customWidth="1"/>
    <col min="5" max="6" width="9.140625" style="108" customWidth="1"/>
    <col min="7" max="26" width="8.7109375" style="108" customWidth="1"/>
    <col min="27" max="16384" width="14.42578125" style="108"/>
  </cols>
  <sheetData>
    <row r="1" spans="1:4" ht="14.25" customHeight="1" x14ac:dyDescent="0.2">
      <c r="B1" s="108" t="s">
        <v>122</v>
      </c>
    </row>
    <row r="2" spans="1:4" ht="14.25" customHeight="1" x14ac:dyDescent="0.2">
      <c r="B2" s="108" t="s">
        <v>123</v>
      </c>
    </row>
    <row r="3" spans="1:4" ht="14.25" customHeight="1" x14ac:dyDescent="0.2">
      <c r="B3" s="109" t="s">
        <v>66</v>
      </c>
    </row>
    <row r="4" spans="1:4" ht="14.25" customHeight="1" x14ac:dyDescent="0.2">
      <c r="B4" s="108" t="s">
        <v>124</v>
      </c>
    </row>
    <row r="5" spans="1:4" ht="14.25" customHeight="1" x14ac:dyDescent="0.2"/>
    <row r="6" spans="1:4" ht="14.25" customHeight="1" x14ac:dyDescent="0.2">
      <c r="A6" s="438" t="s">
        <v>125</v>
      </c>
      <c r="B6" s="433"/>
      <c r="C6" s="433"/>
      <c r="D6" s="433"/>
    </row>
    <row r="7" spans="1:4" ht="14.25" customHeight="1" x14ac:dyDescent="0.2">
      <c r="A7" s="438" t="s">
        <v>126</v>
      </c>
      <c r="B7" s="433"/>
      <c r="C7" s="433"/>
      <c r="D7" s="433"/>
    </row>
    <row r="8" spans="1:4" ht="14.25" customHeight="1" x14ac:dyDescent="0.2">
      <c r="A8" s="438" t="s">
        <v>127</v>
      </c>
      <c r="B8" s="433"/>
      <c r="C8" s="433"/>
      <c r="D8" s="433"/>
    </row>
    <row r="9" spans="1:4" ht="14.25" customHeight="1" x14ac:dyDescent="0.2">
      <c r="A9" s="439" t="s">
        <v>128</v>
      </c>
      <c r="B9" s="433"/>
      <c r="C9" s="433"/>
      <c r="D9" s="433"/>
    </row>
    <row r="10" spans="1:4" ht="14.25" customHeight="1" x14ac:dyDescent="0.2"/>
    <row r="11" spans="1:4" ht="14.25" customHeight="1" x14ac:dyDescent="0.2">
      <c r="A11" s="108" t="s">
        <v>129</v>
      </c>
      <c r="B11" s="441" t="str">
        <f>'DV (3 copies)'!E9</f>
        <v>WARREN A. DEL ROSARIO</v>
      </c>
      <c r="C11" s="441"/>
      <c r="D11" s="108" t="s">
        <v>7</v>
      </c>
    </row>
    <row r="12" spans="1:4" ht="14.25" customHeight="1" x14ac:dyDescent="0.2">
      <c r="A12" s="108" t="s">
        <v>130</v>
      </c>
      <c r="B12" s="440">
        <f>'DV (3 copies)'!AB20</f>
        <v>8116</v>
      </c>
      <c r="C12" s="440"/>
    </row>
    <row r="13" spans="1:4" ht="14.25" customHeight="1" x14ac:dyDescent="0.2">
      <c r="A13" s="108" t="s">
        <v>50</v>
      </c>
      <c r="B13" s="442" t="str">
        <f>'DV (3 copies)'!AB3</f>
        <v>STO-REG-ALMED</v>
      </c>
      <c r="C13" s="441"/>
    </row>
    <row r="14" spans="1:4" ht="14.25" customHeight="1" x14ac:dyDescent="0.2"/>
    <row r="15" spans="1:4" ht="15" customHeight="1" x14ac:dyDescent="0.2">
      <c r="A15" s="111" t="s">
        <v>131</v>
      </c>
      <c r="B15" s="436" t="s">
        <v>132</v>
      </c>
      <c r="C15" s="437"/>
      <c r="D15" s="111" t="s">
        <v>133</v>
      </c>
    </row>
    <row r="16" spans="1:4" ht="14.25" customHeight="1" x14ac:dyDescent="0.2">
      <c r="A16" s="112"/>
      <c r="D16" s="112"/>
    </row>
    <row r="17" spans="1:4" ht="14.25" customHeight="1" x14ac:dyDescent="0.2">
      <c r="A17" s="112"/>
      <c r="B17" s="113" t="s">
        <v>134</v>
      </c>
      <c r="C17" s="114"/>
      <c r="D17" s="112"/>
    </row>
    <row r="18" spans="1:4" ht="14.25" customHeight="1" x14ac:dyDescent="0.2">
      <c r="A18" s="112"/>
      <c r="B18" s="108" t="s">
        <v>174</v>
      </c>
      <c r="D18" s="112"/>
    </row>
    <row r="19" spans="1:4" ht="14.25" customHeight="1" x14ac:dyDescent="0.2">
      <c r="A19" s="112"/>
      <c r="B19" s="113" t="s">
        <v>175</v>
      </c>
      <c r="C19" s="114"/>
      <c r="D19" s="112"/>
    </row>
    <row r="20" spans="1:4" ht="14.25" customHeight="1" x14ac:dyDescent="0.2">
      <c r="A20" s="112"/>
      <c r="B20" s="108" t="s">
        <v>135</v>
      </c>
      <c r="D20" s="112"/>
    </row>
    <row r="21" spans="1:4" ht="14.25" customHeight="1" x14ac:dyDescent="0.2">
      <c r="A21" s="112"/>
      <c r="B21" s="113" t="s">
        <v>136</v>
      </c>
      <c r="C21" s="114"/>
      <c r="D21" s="112"/>
    </row>
    <row r="22" spans="1:4" ht="14.25" customHeight="1" x14ac:dyDescent="0.2">
      <c r="A22" s="112"/>
      <c r="C22" s="108" t="s">
        <v>137</v>
      </c>
      <c r="D22" s="112"/>
    </row>
    <row r="23" spans="1:4" ht="14.25" customHeight="1" x14ac:dyDescent="0.2">
      <c r="A23" s="112"/>
      <c r="B23" s="113"/>
      <c r="C23" s="114" t="s">
        <v>138</v>
      </c>
      <c r="D23" s="112"/>
    </row>
    <row r="24" spans="1:4" ht="14.25" customHeight="1" x14ac:dyDescent="0.2">
      <c r="A24" s="112"/>
      <c r="C24" s="108" t="s">
        <v>139</v>
      </c>
      <c r="D24" s="112"/>
    </row>
    <row r="25" spans="1:4" ht="14.25" customHeight="1" x14ac:dyDescent="0.2">
      <c r="A25" s="112"/>
      <c r="B25" s="113"/>
      <c r="C25" s="114" t="s">
        <v>140</v>
      </c>
      <c r="D25" s="112"/>
    </row>
    <row r="26" spans="1:4" ht="14.25" customHeight="1" x14ac:dyDescent="0.2">
      <c r="A26" s="112"/>
      <c r="C26" s="108" t="s">
        <v>141</v>
      </c>
      <c r="D26" s="112"/>
    </row>
    <row r="27" spans="1:4" ht="14.25" customHeight="1" x14ac:dyDescent="0.2">
      <c r="A27" s="112"/>
      <c r="B27" s="113"/>
      <c r="C27" s="114" t="s">
        <v>142</v>
      </c>
      <c r="D27" s="112"/>
    </row>
    <row r="28" spans="1:4" ht="14.25" customHeight="1" x14ac:dyDescent="0.2">
      <c r="A28" s="112"/>
      <c r="B28" s="113"/>
      <c r="C28" s="114" t="s">
        <v>143</v>
      </c>
      <c r="D28" s="112"/>
    </row>
    <row r="29" spans="1:4" ht="14.25" customHeight="1" x14ac:dyDescent="0.2">
      <c r="A29" s="112"/>
      <c r="B29" s="113"/>
      <c r="C29" s="114" t="s">
        <v>144</v>
      </c>
      <c r="D29" s="112"/>
    </row>
    <row r="30" spans="1:4" ht="14.25" customHeight="1" x14ac:dyDescent="0.2">
      <c r="A30" s="112"/>
      <c r="C30" s="108" t="s">
        <v>145</v>
      </c>
      <c r="D30" s="112"/>
    </row>
    <row r="31" spans="1:4" ht="14.25" customHeight="1" x14ac:dyDescent="0.2">
      <c r="A31" s="112"/>
      <c r="B31" s="113" t="s">
        <v>146</v>
      </c>
      <c r="C31" s="114"/>
      <c r="D31" s="112"/>
    </row>
    <row r="32" spans="1:4" ht="14.25" customHeight="1" x14ac:dyDescent="0.2">
      <c r="A32" s="112"/>
      <c r="B32" s="108" t="s">
        <v>147</v>
      </c>
      <c r="D32" s="112"/>
    </row>
    <row r="33" spans="1:26" ht="14.25" customHeight="1" x14ac:dyDescent="0.2">
      <c r="A33" s="112"/>
      <c r="B33" s="113" t="s">
        <v>148</v>
      </c>
      <c r="C33" s="114"/>
      <c r="D33" s="112"/>
    </row>
    <row r="34" spans="1:26" ht="14.25" customHeight="1" x14ac:dyDescent="0.2">
      <c r="A34" s="112"/>
      <c r="B34" s="108" t="s">
        <v>149</v>
      </c>
      <c r="D34" s="112"/>
    </row>
    <row r="35" spans="1:26" ht="14.25" customHeight="1" x14ac:dyDescent="0.2">
      <c r="A35" s="112"/>
      <c r="B35" s="113"/>
      <c r="C35" s="114"/>
      <c r="D35" s="112"/>
    </row>
    <row r="36" spans="1:26" ht="14.25" customHeight="1" x14ac:dyDescent="0.2">
      <c r="A36" s="115"/>
      <c r="B36" s="109" t="s">
        <v>150</v>
      </c>
      <c r="C36" s="109"/>
      <c r="D36" s="115"/>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4.25" customHeight="1" x14ac:dyDescent="0.2">
      <c r="A37" s="112"/>
      <c r="B37" s="113" t="s">
        <v>151</v>
      </c>
      <c r="C37" s="114"/>
      <c r="D37" s="112"/>
    </row>
    <row r="38" spans="1:26" ht="14.25" customHeight="1" x14ac:dyDescent="0.2">
      <c r="A38" s="112"/>
      <c r="B38" s="113" t="s">
        <v>152</v>
      </c>
      <c r="C38" s="114"/>
      <c r="D38" s="112"/>
    </row>
    <row r="39" spans="1:26" ht="14.25" customHeight="1" x14ac:dyDescent="0.2">
      <c r="A39" s="112"/>
      <c r="B39" s="108" t="s">
        <v>153</v>
      </c>
      <c r="D39" s="112"/>
    </row>
    <row r="40" spans="1:26" ht="14.25" customHeight="1" x14ac:dyDescent="0.2">
      <c r="A40" s="112"/>
      <c r="B40" s="113"/>
      <c r="C40" s="114"/>
      <c r="D40" s="112"/>
    </row>
    <row r="41" spans="1:26" ht="14.25" customHeight="1" x14ac:dyDescent="0.2"/>
    <row r="42" spans="1:26" ht="14.25" customHeight="1" x14ac:dyDescent="0.2">
      <c r="A42" s="108" t="s">
        <v>154</v>
      </c>
      <c r="B42" s="434" t="s">
        <v>155</v>
      </c>
      <c r="C42" s="433"/>
      <c r="D42" s="433"/>
    </row>
    <row r="43" spans="1:26" ht="14.25" customHeight="1" x14ac:dyDescent="0.2">
      <c r="B43" s="434" t="s">
        <v>156</v>
      </c>
      <c r="C43" s="433"/>
      <c r="D43" s="433"/>
    </row>
    <row r="44" spans="1:26" ht="27.75" customHeight="1" x14ac:dyDescent="0.2">
      <c r="B44" s="432" t="s">
        <v>157</v>
      </c>
      <c r="C44" s="433"/>
      <c r="D44" s="433"/>
    </row>
    <row r="45" spans="1:26" ht="29.25" customHeight="1" x14ac:dyDescent="0.2">
      <c r="B45" s="435" t="s">
        <v>158</v>
      </c>
      <c r="C45" s="409"/>
      <c r="D45" s="409"/>
    </row>
    <row r="46" spans="1:26" ht="14.25" customHeight="1" x14ac:dyDescent="0.2">
      <c r="B46" s="435" t="s">
        <v>159</v>
      </c>
      <c r="C46" s="409"/>
      <c r="D46" s="409"/>
    </row>
    <row r="47" spans="1:26" ht="30" customHeight="1" x14ac:dyDescent="0.2">
      <c r="B47" s="432" t="s">
        <v>160</v>
      </c>
      <c r="C47" s="433"/>
      <c r="D47" s="433"/>
    </row>
    <row r="48" spans="1:26" ht="42" customHeight="1" x14ac:dyDescent="0.2">
      <c r="B48" s="432" t="s">
        <v>161</v>
      </c>
      <c r="C48" s="433"/>
      <c r="D48" s="433"/>
    </row>
    <row r="49" spans="1:4" ht="14.25" customHeight="1" x14ac:dyDescent="0.2">
      <c r="B49" s="434" t="s">
        <v>162</v>
      </c>
      <c r="C49" s="433"/>
      <c r="D49" s="433"/>
    </row>
    <row r="50" spans="1:4" ht="14.25" customHeight="1" x14ac:dyDescent="0.2"/>
    <row r="51" spans="1:4" ht="14.25" customHeight="1" x14ac:dyDescent="0.2"/>
    <row r="52" spans="1:4" ht="14.25" customHeight="1" x14ac:dyDescent="0.2">
      <c r="A52" s="108" t="s">
        <v>163</v>
      </c>
      <c r="C52" s="110" t="s">
        <v>110</v>
      </c>
    </row>
    <row r="53" spans="1:4" ht="14.25" customHeight="1" x14ac:dyDescent="0.2">
      <c r="C53" s="110"/>
    </row>
    <row r="54" spans="1:4" ht="14.25" customHeight="1" x14ac:dyDescent="0.2">
      <c r="C54" s="110"/>
    </row>
    <row r="55" spans="1:4" ht="14.25" customHeight="1" x14ac:dyDescent="0.2">
      <c r="A55" s="108" t="s">
        <v>164</v>
      </c>
      <c r="C55" s="110" t="s">
        <v>110</v>
      </c>
    </row>
    <row r="56" spans="1:4" ht="14.25" customHeight="1" x14ac:dyDescent="0.2"/>
    <row r="57" spans="1:4" ht="14.25" customHeight="1" x14ac:dyDescent="0.2"/>
    <row r="58" spans="1:4" ht="14.25" customHeight="1" x14ac:dyDescent="0.2"/>
    <row r="59" spans="1:4" ht="14.25" customHeight="1" x14ac:dyDescent="0.2"/>
    <row r="60" spans="1:4" ht="14.25" customHeight="1" x14ac:dyDescent="0.2"/>
    <row r="61" spans="1:4" ht="14.25" customHeight="1" x14ac:dyDescent="0.2"/>
    <row r="62" spans="1:4" ht="14.25" customHeight="1" x14ac:dyDescent="0.2"/>
    <row r="63" spans="1:4" ht="14.25" customHeight="1" x14ac:dyDescent="0.2"/>
    <row r="64" spans="1: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6">
    <mergeCell ref="B15:C15"/>
    <mergeCell ref="A6:D6"/>
    <mergeCell ref="A7:D7"/>
    <mergeCell ref="A8:D8"/>
    <mergeCell ref="A9:D9"/>
    <mergeCell ref="B12:C12"/>
    <mergeCell ref="B11:C11"/>
    <mergeCell ref="B13:C13"/>
    <mergeCell ref="B48:D48"/>
    <mergeCell ref="B49:D49"/>
    <mergeCell ref="B42:D42"/>
    <mergeCell ref="B43:D43"/>
    <mergeCell ref="B44:D44"/>
    <mergeCell ref="B45:D45"/>
    <mergeCell ref="B46:D46"/>
    <mergeCell ref="B47:D47"/>
  </mergeCells>
  <pageMargins left="0.7" right="0.7" top="0.75" bottom="0.75" header="0.3" footer="0.3"/>
  <pageSetup paperSize="9" scale="8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view="pageBreakPreview" zoomScale="70" zoomScaleNormal="100" zoomScaleSheetLayoutView="70" workbookViewId="0">
      <selection activeCell="D20" sqref="D20"/>
    </sheetView>
  </sheetViews>
  <sheetFormatPr defaultColWidth="14.42578125" defaultRowHeight="15" customHeight="1" x14ac:dyDescent="0.2"/>
  <cols>
    <col min="1" max="1" width="11.140625" style="6" customWidth="1"/>
    <col min="2" max="2" width="5.140625" style="6" customWidth="1"/>
    <col min="3" max="3" width="5.85546875" style="6" customWidth="1"/>
    <col min="4" max="4" width="7.42578125" style="6" customWidth="1"/>
    <col min="5" max="5" width="6.42578125" style="6" customWidth="1"/>
    <col min="6" max="6" width="8" style="6" customWidth="1"/>
    <col min="7" max="7" width="2" style="6" customWidth="1"/>
    <col min="8" max="8" width="15.28515625" style="6" customWidth="1"/>
    <col min="9" max="9" width="10.140625" style="6" customWidth="1"/>
    <col min="10" max="10" width="6.140625" style="6" customWidth="1"/>
    <col min="11" max="11" width="13.42578125" style="6" customWidth="1"/>
    <col min="12" max="12" width="12.42578125" style="6" customWidth="1"/>
    <col min="13" max="13" width="15.140625" style="6" customWidth="1"/>
    <col min="14" max="15" width="9.140625" style="6" customWidth="1"/>
    <col min="16" max="16" width="27" style="6" customWidth="1"/>
    <col min="17" max="17" width="25.28515625" style="6" customWidth="1"/>
    <col min="18" max="18" width="19.85546875" style="6" customWidth="1"/>
    <col min="19" max="19" width="58.85546875" style="6" customWidth="1"/>
    <col min="20" max="16384" width="14.42578125" style="6"/>
  </cols>
  <sheetData>
    <row r="1" spans="1:19" ht="19.5" customHeight="1" x14ac:dyDescent="0.25">
      <c r="A1" s="1"/>
      <c r="B1" s="1"/>
      <c r="C1" s="1"/>
      <c r="D1" s="1"/>
      <c r="E1" s="1"/>
      <c r="F1" s="1"/>
      <c r="G1" s="1"/>
      <c r="H1" s="1"/>
      <c r="I1" s="1"/>
      <c r="J1" s="1"/>
      <c r="K1" s="1"/>
      <c r="L1" s="525" t="s">
        <v>39</v>
      </c>
      <c r="M1" s="448"/>
      <c r="N1" s="2"/>
      <c r="O1" s="2"/>
      <c r="P1" s="3" t="s">
        <v>17</v>
      </c>
      <c r="Q1" s="4"/>
      <c r="R1" s="4"/>
      <c r="S1" s="5"/>
    </row>
    <row r="2" spans="1:19" ht="15.75" customHeight="1" thickBot="1" x14ac:dyDescent="0.3">
      <c r="A2" s="1"/>
      <c r="B2" s="1"/>
      <c r="C2" s="1"/>
      <c r="D2" s="1"/>
      <c r="E2" s="1"/>
      <c r="F2" s="1"/>
      <c r="G2" s="1"/>
      <c r="H2" s="1"/>
      <c r="I2" s="1"/>
      <c r="J2" s="1"/>
      <c r="K2" s="1"/>
      <c r="L2" s="526"/>
      <c r="M2" s="484"/>
      <c r="N2" s="2"/>
      <c r="O2" s="2"/>
      <c r="P2" s="5"/>
      <c r="Q2" s="5"/>
      <c r="R2" s="5"/>
      <c r="S2" s="5"/>
    </row>
    <row r="3" spans="1:19" ht="25.5" customHeight="1" x14ac:dyDescent="0.25">
      <c r="A3" s="527" t="s">
        <v>40</v>
      </c>
      <c r="B3" s="511"/>
      <c r="C3" s="511"/>
      <c r="D3" s="511"/>
      <c r="E3" s="511"/>
      <c r="F3" s="511"/>
      <c r="G3" s="511"/>
      <c r="H3" s="511"/>
      <c r="I3" s="511"/>
      <c r="J3" s="517"/>
      <c r="K3" s="528" t="s">
        <v>194</v>
      </c>
      <c r="L3" s="511"/>
      <c r="M3" s="517"/>
      <c r="N3" s="2"/>
      <c r="O3" s="2"/>
      <c r="P3" s="5"/>
      <c r="Q3" s="5"/>
      <c r="R3" s="5"/>
      <c r="S3" s="5"/>
    </row>
    <row r="4" spans="1:19" ht="25.5" customHeight="1" x14ac:dyDescent="0.25">
      <c r="A4" s="529" t="s">
        <v>8</v>
      </c>
      <c r="B4" s="448"/>
      <c r="C4" s="448"/>
      <c r="D4" s="448"/>
      <c r="E4" s="448"/>
      <c r="F4" s="448"/>
      <c r="G4" s="448"/>
      <c r="H4" s="448"/>
      <c r="I4" s="448"/>
      <c r="J4" s="449"/>
      <c r="K4" s="530" t="s">
        <v>9</v>
      </c>
      <c r="L4" s="448"/>
      <c r="M4" s="449"/>
      <c r="N4" s="2"/>
      <c r="O4" s="2"/>
      <c r="P4" s="5"/>
      <c r="Q4" s="5"/>
      <c r="R4" s="5"/>
      <c r="S4" s="5"/>
    </row>
    <row r="5" spans="1:19" ht="22.5" customHeight="1" thickBot="1" x14ac:dyDescent="0.3">
      <c r="A5" s="518" t="s">
        <v>11</v>
      </c>
      <c r="B5" s="448"/>
      <c r="C5" s="448"/>
      <c r="D5" s="448"/>
      <c r="E5" s="448"/>
      <c r="F5" s="448"/>
      <c r="G5" s="448"/>
      <c r="H5" s="448"/>
      <c r="I5" s="448"/>
      <c r="J5" s="449"/>
      <c r="K5" s="519" t="s">
        <v>169</v>
      </c>
      <c r="L5" s="484"/>
      <c r="M5" s="486"/>
      <c r="N5" s="2"/>
      <c r="O5" s="7"/>
      <c r="P5" s="8" t="s">
        <v>10</v>
      </c>
      <c r="Q5" s="9"/>
      <c r="R5" s="9"/>
      <c r="S5" s="9"/>
    </row>
    <row r="6" spans="1:19" ht="15" customHeight="1" x14ac:dyDescent="0.2">
      <c r="A6" s="510" t="s">
        <v>12</v>
      </c>
      <c r="B6" s="511"/>
      <c r="C6" s="512"/>
      <c r="D6" s="523" t="str">
        <f>'Itinerary (3 copies)'!D17</f>
        <v>WARREN A. DEL ROSARIO</v>
      </c>
      <c r="E6" s="511"/>
      <c r="F6" s="511"/>
      <c r="G6" s="511"/>
      <c r="H6" s="511"/>
      <c r="I6" s="511"/>
      <c r="J6" s="511"/>
      <c r="K6" s="511"/>
      <c r="L6" s="511"/>
      <c r="M6" s="517"/>
      <c r="N6" s="2"/>
      <c r="O6" s="9">
        <v>1</v>
      </c>
      <c r="P6" s="9" t="s">
        <v>41</v>
      </c>
      <c r="Q6" s="9"/>
      <c r="R6" s="9"/>
      <c r="S6" s="9"/>
    </row>
    <row r="7" spans="1:19" ht="15" customHeight="1" x14ac:dyDescent="0.2">
      <c r="A7" s="520"/>
      <c r="B7" s="521"/>
      <c r="C7" s="522"/>
      <c r="D7" s="524"/>
      <c r="E7" s="521"/>
      <c r="F7" s="521"/>
      <c r="G7" s="521"/>
      <c r="H7" s="521"/>
      <c r="I7" s="521"/>
      <c r="J7" s="521"/>
      <c r="K7" s="521"/>
      <c r="L7" s="521"/>
      <c r="M7" s="444"/>
      <c r="N7" s="2"/>
      <c r="O7" s="9">
        <v>2</v>
      </c>
      <c r="P7" s="9" t="s">
        <v>42</v>
      </c>
      <c r="Q7" s="10"/>
      <c r="R7" s="10"/>
      <c r="S7" s="10"/>
    </row>
    <row r="8" spans="1:19" ht="15" customHeight="1" x14ac:dyDescent="0.2">
      <c r="A8" s="503" t="s">
        <v>5</v>
      </c>
      <c r="B8" s="504"/>
      <c r="C8" s="505"/>
      <c r="D8" s="508" t="s">
        <v>66</v>
      </c>
      <c r="E8" s="504"/>
      <c r="F8" s="504"/>
      <c r="G8" s="504"/>
      <c r="H8" s="504"/>
      <c r="I8" s="504"/>
      <c r="J8" s="504"/>
      <c r="K8" s="504"/>
      <c r="L8" s="504"/>
      <c r="M8" s="509"/>
      <c r="N8" s="2"/>
      <c r="O8" s="10">
        <v>3</v>
      </c>
      <c r="P8" s="10" t="s">
        <v>43</v>
      </c>
      <c r="Q8" s="11"/>
      <c r="R8" s="11"/>
      <c r="S8" s="11"/>
    </row>
    <row r="9" spans="1:19" ht="15" customHeight="1" x14ac:dyDescent="0.2">
      <c r="A9" s="520"/>
      <c r="B9" s="521"/>
      <c r="C9" s="522"/>
      <c r="D9" s="524"/>
      <c r="E9" s="521"/>
      <c r="F9" s="521"/>
      <c r="G9" s="521"/>
      <c r="H9" s="521"/>
      <c r="I9" s="521"/>
      <c r="J9" s="521"/>
      <c r="K9" s="521"/>
      <c r="L9" s="521"/>
      <c r="M9" s="444"/>
      <c r="N9" s="2"/>
      <c r="O9" s="12">
        <v>4</v>
      </c>
      <c r="P9" s="12" t="s">
        <v>44</v>
      </c>
      <c r="Q9" s="9"/>
      <c r="R9" s="9"/>
      <c r="S9" s="9"/>
    </row>
    <row r="10" spans="1:19" ht="15" customHeight="1" x14ac:dyDescent="0.2">
      <c r="A10" s="503" t="s">
        <v>13</v>
      </c>
      <c r="B10" s="504"/>
      <c r="C10" s="505"/>
      <c r="D10" s="508" t="s">
        <v>65</v>
      </c>
      <c r="E10" s="504"/>
      <c r="F10" s="504"/>
      <c r="G10" s="504"/>
      <c r="H10" s="504"/>
      <c r="I10" s="504"/>
      <c r="J10" s="504"/>
      <c r="K10" s="504"/>
      <c r="L10" s="504"/>
      <c r="M10" s="509"/>
      <c r="N10" s="2"/>
      <c r="O10" s="7"/>
      <c r="P10" s="9"/>
      <c r="Q10" s="13" t="s">
        <v>45</v>
      </c>
      <c r="R10" s="12" t="s">
        <v>46</v>
      </c>
      <c r="S10" s="9"/>
    </row>
    <row r="11" spans="1:19" ht="15" customHeight="1" thickBot="1" x14ac:dyDescent="0.25">
      <c r="A11" s="506"/>
      <c r="B11" s="484"/>
      <c r="C11" s="507"/>
      <c r="D11" s="483"/>
      <c r="E11" s="484"/>
      <c r="F11" s="484"/>
      <c r="G11" s="484"/>
      <c r="H11" s="484"/>
      <c r="I11" s="484"/>
      <c r="J11" s="484"/>
      <c r="K11" s="484"/>
      <c r="L11" s="484"/>
      <c r="M11" s="486"/>
      <c r="N11" s="2"/>
      <c r="O11" s="7"/>
      <c r="P11" s="14" t="s">
        <v>47</v>
      </c>
      <c r="Q11" s="15" t="s">
        <v>48</v>
      </c>
      <c r="R11" s="16"/>
      <c r="S11" s="17"/>
    </row>
    <row r="12" spans="1:19" ht="18.75" customHeight="1" x14ac:dyDescent="0.2">
      <c r="A12" s="510" t="s">
        <v>15</v>
      </c>
      <c r="B12" s="511"/>
      <c r="C12" s="512"/>
      <c r="D12" s="513" t="s">
        <v>1</v>
      </c>
      <c r="E12" s="511"/>
      <c r="F12" s="511"/>
      <c r="G12" s="511"/>
      <c r="H12" s="512"/>
      <c r="I12" s="514" t="s">
        <v>16</v>
      </c>
      <c r="J12" s="512"/>
      <c r="K12" s="515" t="s">
        <v>49</v>
      </c>
      <c r="L12" s="513" t="s">
        <v>2</v>
      </c>
      <c r="M12" s="517"/>
      <c r="N12" s="2"/>
      <c r="O12" s="7"/>
      <c r="P12" s="14" t="s">
        <v>50</v>
      </c>
      <c r="Q12" s="15" t="s">
        <v>51</v>
      </c>
      <c r="R12" s="17"/>
      <c r="S12" s="17"/>
    </row>
    <row r="13" spans="1:19" ht="18.75" customHeight="1" thickBot="1" x14ac:dyDescent="0.25">
      <c r="A13" s="506"/>
      <c r="B13" s="484"/>
      <c r="C13" s="507"/>
      <c r="D13" s="483"/>
      <c r="E13" s="484"/>
      <c r="F13" s="484"/>
      <c r="G13" s="484"/>
      <c r="H13" s="507"/>
      <c r="I13" s="483"/>
      <c r="J13" s="507"/>
      <c r="K13" s="516"/>
      <c r="L13" s="483"/>
      <c r="M13" s="486"/>
      <c r="N13" s="2"/>
      <c r="O13" s="7"/>
      <c r="P13" s="14" t="s">
        <v>52</v>
      </c>
      <c r="Q13" s="15" t="s">
        <v>6</v>
      </c>
      <c r="R13" s="17"/>
      <c r="S13" s="17"/>
    </row>
    <row r="14" spans="1:19" ht="26.25" customHeight="1" x14ac:dyDescent="0.2">
      <c r="A14" s="492" t="str">
        <f>'DV (3 copies)'!R14</f>
        <v>15-03-01-03</v>
      </c>
      <c r="B14" s="493"/>
      <c r="C14" s="452"/>
      <c r="D14" s="494" t="s">
        <v>181</v>
      </c>
      <c r="E14" s="451"/>
      <c r="F14" s="451"/>
      <c r="G14" s="451"/>
      <c r="H14" s="452"/>
      <c r="I14" s="476" t="str">
        <f>'DV (3 copies)'!W14</f>
        <v>200000-10000-1000</v>
      </c>
      <c r="J14" s="477"/>
      <c r="K14" s="478" t="s">
        <v>166</v>
      </c>
      <c r="L14" s="496"/>
      <c r="M14" s="455"/>
      <c r="N14" s="2"/>
      <c r="O14" s="7"/>
      <c r="P14" s="14" t="s">
        <v>47</v>
      </c>
      <c r="Q14" s="19"/>
      <c r="R14" s="16" t="s">
        <v>53</v>
      </c>
      <c r="S14" s="17"/>
    </row>
    <row r="15" spans="1:19" ht="18.75" customHeight="1" x14ac:dyDescent="0.2">
      <c r="A15" s="473" t="str">
        <f>'DV (3 copies)'!W15</f>
        <v>STO-REG-ALMED</v>
      </c>
      <c r="B15" s="474"/>
      <c r="C15" s="475"/>
      <c r="D15" s="495"/>
      <c r="E15" s="451"/>
      <c r="F15" s="451"/>
      <c r="G15" s="451"/>
      <c r="H15" s="452"/>
      <c r="I15" s="476"/>
      <c r="J15" s="477"/>
      <c r="K15" s="478"/>
      <c r="L15" s="496">
        <f>'Itinerary (3 copies)'!I13</f>
        <v>8116</v>
      </c>
      <c r="M15" s="455"/>
      <c r="N15" s="2"/>
      <c r="O15" s="7"/>
      <c r="P15" s="14" t="s">
        <v>50</v>
      </c>
      <c r="Q15" s="19" t="s">
        <v>54</v>
      </c>
      <c r="R15" s="17"/>
      <c r="S15" s="17"/>
    </row>
    <row r="16" spans="1:19" ht="13.5" customHeight="1" x14ac:dyDescent="0.2">
      <c r="A16" s="121"/>
      <c r="B16" s="124"/>
      <c r="C16" s="125"/>
      <c r="D16" s="120"/>
      <c r="E16" s="126"/>
      <c r="F16" s="126"/>
      <c r="G16" s="126"/>
      <c r="H16" s="127"/>
      <c r="I16" s="122"/>
      <c r="J16" s="125"/>
      <c r="K16" s="20"/>
      <c r="L16" s="123"/>
      <c r="M16" s="128"/>
      <c r="N16" s="2"/>
      <c r="O16" s="7"/>
      <c r="P16" s="21"/>
      <c r="Q16" s="9"/>
      <c r="R16" s="9"/>
      <c r="S16" s="9"/>
    </row>
    <row r="17" spans="1:19" ht="12.75" customHeight="1" x14ac:dyDescent="0.2">
      <c r="A17" s="121"/>
      <c r="B17" s="124"/>
      <c r="C17" s="125"/>
      <c r="D17" s="494" t="str">
        <f>'DV (3 copies)'!B17</f>
        <v>T.O. #: 2026-07-11246</v>
      </c>
      <c r="E17" s="501"/>
      <c r="F17" s="501"/>
      <c r="G17" s="501"/>
      <c r="H17" s="502"/>
      <c r="I17" s="122"/>
      <c r="J17" s="125"/>
      <c r="K17" s="20"/>
      <c r="L17" s="123"/>
      <c r="M17" s="129"/>
      <c r="N17" s="2"/>
      <c r="O17" s="7"/>
      <c r="P17" s="21"/>
      <c r="Q17" s="9"/>
      <c r="R17" s="9"/>
      <c r="S17" s="9"/>
    </row>
    <row r="18" spans="1:19" ht="17.25" customHeight="1" x14ac:dyDescent="0.2">
      <c r="A18" s="121"/>
      <c r="B18" s="124"/>
      <c r="C18" s="125"/>
      <c r="D18" s="499" t="str">
        <f>'DV (3 copies)'!B18</f>
        <v>Date: July 15, 2026</v>
      </c>
      <c r="E18" s="348"/>
      <c r="F18" s="348"/>
      <c r="G18" s="348"/>
      <c r="H18" s="500"/>
      <c r="I18" s="122"/>
      <c r="J18" s="125"/>
      <c r="K18" s="20"/>
      <c r="L18" s="123"/>
      <c r="M18" s="128"/>
      <c r="N18" s="2"/>
      <c r="O18" s="7"/>
      <c r="P18" s="21"/>
      <c r="Q18" s="9"/>
      <c r="R18" s="9"/>
      <c r="S18" s="9"/>
    </row>
    <row r="19" spans="1:19" ht="26.25" customHeight="1" x14ac:dyDescent="0.2">
      <c r="A19" s="121"/>
      <c r="B19" s="124"/>
      <c r="C19" s="125"/>
      <c r="D19" s="499" t="str">
        <f>'DV (3 copies)'!B19</f>
        <v>Destination:Sta Maria, Laguna, Region IV-A and Points</v>
      </c>
      <c r="E19" s="348"/>
      <c r="F19" s="348"/>
      <c r="G19" s="348"/>
      <c r="H19" s="500"/>
      <c r="I19" s="122"/>
      <c r="J19" s="125"/>
      <c r="K19" s="20"/>
      <c r="L19" s="123"/>
      <c r="M19" s="128"/>
      <c r="N19" s="2"/>
      <c r="O19" s="7"/>
      <c r="P19" s="21"/>
      <c r="Q19" s="9"/>
      <c r="R19" s="9"/>
      <c r="S19" s="9"/>
    </row>
    <row r="20" spans="1:19" ht="26.25" customHeight="1" x14ac:dyDescent="0.2">
      <c r="A20" s="121"/>
      <c r="B20" s="124"/>
      <c r="C20" s="125"/>
      <c r="D20" s="120"/>
      <c r="E20" s="126"/>
      <c r="F20" s="126"/>
      <c r="G20" s="126"/>
      <c r="H20" s="127"/>
      <c r="I20" s="122"/>
      <c r="J20" s="125"/>
      <c r="K20" s="20"/>
      <c r="L20" s="123"/>
      <c r="M20" s="128"/>
      <c r="N20" s="2"/>
      <c r="O20" s="7"/>
      <c r="P20" s="21"/>
      <c r="Q20" s="9"/>
      <c r="R20" s="9"/>
      <c r="S20" s="9"/>
    </row>
    <row r="21" spans="1:19" ht="15" customHeight="1" thickBot="1" x14ac:dyDescent="0.25">
      <c r="A21" s="450"/>
      <c r="B21" s="451"/>
      <c r="C21" s="452"/>
      <c r="D21" s="453"/>
      <c r="E21" s="451"/>
      <c r="F21" s="451"/>
      <c r="G21" s="451"/>
      <c r="H21" s="452"/>
      <c r="I21" s="453"/>
      <c r="J21" s="452"/>
      <c r="K21" s="20"/>
      <c r="L21" s="454"/>
      <c r="M21" s="455"/>
      <c r="N21" s="2"/>
      <c r="O21" s="7"/>
      <c r="P21" s="21" t="s">
        <v>55</v>
      </c>
      <c r="Q21" s="9"/>
      <c r="R21" s="9"/>
      <c r="S21" s="9"/>
    </row>
    <row r="22" spans="1:19" ht="16.5" customHeight="1" thickBot="1" x14ac:dyDescent="0.25">
      <c r="A22" s="456"/>
      <c r="B22" s="457"/>
      <c r="C22" s="458"/>
      <c r="D22" s="459" t="s">
        <v>18</v>
      </c>
      <c r="E22" s="457"/>
      <c r="F22" s="457"/>
      <c r="G22" s="457"/>
      <c r="H22" s="458"/>
      <c r="I22" s="460"/>
      <c r="J22" s="458"/>
      <c r="K22" s="22"/>
      <c r="L22" s="461">
        <f>SUM(L14:M21)</f>
        <v>8116</v>
      </c>
      <c r="M22" s="462"/>
      <c r="N22" s="2"/>
      <c r="O22" s="12"/>
      <c r="P22" s="21" t="s">
        <v>14</v>
      </c>
      <c r="Q22" s="9"/>
      <c r="R22" s="9"/>
      <c r="S22" s="9"/>
    </row>
    <row r="23" spans="1:19" ht="9" customHeight="1" x14ac:dyDescent="0.2">
      <c r="A23" s="463" t="s">
        <v>19</v>
      </c>
      <c r="B23" s="23"/>
      <c r="C23" s="24"/>
      <c r="D23" s="348" t="s">
        <v>56</v>
      </c>
      <c r="E23" s="448"/>
      <c r="F23" s="448"/>
      <c r="G23" s="448"/>
      <c r="H23" s="449"/>
      <c r="I23" s="497" t="s">
        <v>20</v>
      </c>
      <c r="J23" s="25"/>
      <c r="K23" s="24"/>
      <c r="L23" s="24"/>
      <c r="M23" s="26"/>
      <c r="N23" s="2"/>
      <c r="O23" s="7"/>
      <c r="P23" s="9"/>
      <c r="Q23" s="9"/>
      <c r="R23" s="9"/>
      <c r="S23" s="9"/>
    </row>
    <row r="24" spans="1:19" ht="14.25" customHeight="1" x14ac:dyDescent="0.2">
      <c r="A24" s="464"/>
      <c r="B24" s="498" t="s">
        <v>38</v>
      </c>
      <c r="C24" s="448"/>
      <c r="D24" s="448"/>
      <c r="E24" s="448"/>
      <c r="F24" s="448"/>
      <c r="G24" s="448"/>
      <c r="H24" s="449"/>
      <c r="I24" s="464"/>
      <c r="J24" s="27" t="s">
        <v>57</v>
      </c>
      <c r="K24" s="24"/>
      <c r="L24" s="24"/>
      <c r="M24" s="26"/>
      <c r="N24" s="2"/>
      <c r="O24" s="7"/>
      <c r="P24" s="28"/>
      <c r="Q24" s="9"/>
      <c r="R24" s="9"/>
      <c r="S24" s="9"/>
    </row>
    <row r="25" spans="1:19" ht="12.75" customHeight="1" x14ac:dyDescent="0.25">
      <c r="A25" s="29"/>
      <c r="B25" s="447" t="s">
        <v>58</v>
      </c>
      <c r="C25" s="448"/>
      <c r="D25" s="448"/>
      <c r="E25" s="448"/>
      <c r="F25" s="448"/>
      <c r="G25" s="448"/>
      <c r="H25" s="449"/>
      <c r="I25" s="30"/>
      <c r="J25" s="24" t="s">
        <v>21</v>
      </c>
      <c r="K25" s="24"/>
      <c r="L25" s="24"/>
      <c r="M25" s="26"/>
      <c r="N25" s="2"/>
      <c r="O25" s="7"/>
      <c r="P25" s="9"/>
      <c r="Q25" s="9"/>
      <c r="R25" s="9"/>
      <c r="S25" s="9"/>
    </row>
    <row r="26" spans="1:19" ht="12.75" customHeight="1" x14ac:dyDescent="0.2">
      <c r="A26" s="468"/>
      <c r="B26" s="24" t="s">
        <v>22</v>
      </c>
      <c r="C26" s="24"/>
      <c r="D26" s="24"/>
      <c r="E26" s="24"/>
      <c r="F26" s="24"/>
      <c r="G26" s="24"/>
      <c r="H26" s="26"/>
      <c r="I26" s="24"/>
      <c r="J26" s="24" t="s">
        <v>23</v>
      </c>
      <c r="K26" s="24"/>
      <c r="L26" s="24"/>
      <c r="M26" s="26"/>
      <c r="N26" s="2"/>
      <c r="O26" s="7"/>
      <c r="P26" s="9"/>
      <c r="Q26" s="9"/>
      <c r="R26" s="9"/>
      <c r="S26" s="9"/>
    </row>
    <row r="27" spans="1:19" ht="12.75" customHeight="1" x14ac:dyDescent="0.2">
      <c r="A27" s="468"/>
      <c r="B27" s="24"/>
      <c r="C27" s="24"/>
      <c r="D27" s="24"/>
      <c r="E27" s="24"/>
      <c r="F27" s="24"/>
      <c r="G27" s="24"/>
      <c r="H27" s="26"/>
      <c r="I27" s="24"/>
      <c r="J27" s="24"/>
      <c r="K27" s="24"/>
      <c r="L27" s="24"/>
      <c r="M27" s="26"/>
      <c r="N27" s="2"/>
      <c r="O27" s="7"/>
      <c r="P27" s="9"/>
      <c r="Q27" s="9"/>
      <c r="R27" s="9"/>
      <c r="S27" s="9"/>
    </row>
    <row r="28" spans="1:19" ht="12.75" customHeight="1" x14ac:dyDescent="0.2">
      <c r="A28" s="469"/>
      <c r="B28" s="24"/>
      <c r="C28" s="24"/>
      <c r="D28" s="24"/>
      <c r="E28" s="24"/>
      <c r="F28" s="24"/>
      <c r="G28" s="24"/>
      <c r="H28" s="26"/>
      <c r="I28" s="24"/>
      <c r="J28" s="24"/>
      <c r="K28" s="24"/>
      <c r="L28" s="24"/>
      <c r="M28" s="26"/>
      <c r="N28" s="2"/>
      <c r="O28" s="7"/>
      <c r="P28" s="9"/>
      <c r="Q28" s="9"/>
      <c r="R28" s="9"/>
      <c r="S28" s="9"/>
    </row>
    <row r="29" spans="1:19" ht="12.75" customHeight="1" x14ac:dyDescent="0.25">
      <c r="A29" s="31"/>
      <c r="B29" s="32"/>
      <c r="C29" s="24"/>
      <c r="D29" s="32"/>
      <c r="E29" s="32"/>
      <c r="F29" s="32"/>
      <c r="G29" s="24"/>
      <c r="H29" s="26"/>
      <c r="I29" s="24"/>
      <c r="J29" s="24"/>
      <c r="K29" s="24"/>
      <c r="L29" s="24"/>
      <c r="M29" s="26"/>
      <c r="N29" s="2"/>
      <c r="O29" s="2"/>
      <c r="P29" s="5"/>
      <c r="Q29" s="5"/>
      <c r="R29" s="5"/>
      <c r="S29" s="5"/>
    </row>
    <row r="30" spans="1:19" ht="12.75" customHeight="1" x14ac:dyDescent="0.25">
      <c r="A30" s="31"/>
      <c r="B30" s="24"/>
      <c r="C30" s="24"/>
      <c r="D30" s="24"/>
      <c r="E30" s="24"/>
      <c r="F30" s="24"/>
      <c r="G30" s="24"/>
      <c r="H30" s="26"/>
      <c r="I30" s="24"/>
      <c r="J30" s="24"/>
      <c r="K30" s="24"/>
      <c r="L30" s="24"/>
      <c r="M30" s="26"/>
      <c r="N30" s="2"/>
      <c r="O30" s="2"/>
      <c r="P30" s="5"/>
      <c r="Q30" s="5"/>
      <c r="R30" s="5"/>
      <c r="S30" s="5"/>
    </row>
    <row r="31" spans="1:19" ht="13.5" customHeight="1" x14ac:dyDescent="0.25">
      <c r="A31" s="470" t="s">
        <v>24</v>
      </c>
      <c r="B31" s="448"/>
      <c r="C31" s="448"/>
      <c r="D31" s="448"/>
      <c r="E31" s="448"/>
      <c r="F31" s="448"/>
      <c r="G31" s="448"/>
      <c r="H31" s="449"/>
      <c r="I31" s="490" t="s">
        <v>24</v>
      </c>
      <c r="J31" s="448"/>
      <c r="K31" s="448"/>
      <c r="L31" s="448"/>
      <c r="M31" s="449"/>
      <c r="N31" s="7"/>
      <c r="O31" s="2"/>
      <c r="P31" s="5"/>
      <c r="Q31" s="5"/>
      <c r="R31" s="5"/>
      <c r="S31" s="5"/>
    </row>
    <row r="32" spans="1:19" ht="12.75" customHeight="1" x14ac:dyDescent="0.25">
      <c r="A32" s="33"/>
      <c r="B32" s="34"/>
      <c r="C32" s="34"/>
      <c r="D32" s="34"/>
      <c r="E32" s="34"/>
      <c r="F32" s="34"/>
      <c r="G32" s="34"/>
      <c r="H32" s="35"/>
      <c r="I32" s="36"/>
      <c r="J32" s="36"/>
      <c r="K32" s="36"/>
      <c r="L32" s="36"/>
      <c r="M32" s="37"/>
      <c r="N32" s="7"/>
      <c r="O32" s="2"/>
      <c r="P32" s="5"/>
      <c r="Q32" s="5"/>
      <c r="R32" s="5"/>
      <c r="S32" s="5"/>
    </row>
    <row r="33" spans="1:19" ht="15" customHeight="1" x14ac:dyDescent="0.25">
      <c r="A33" s="470" t="s">
        <v>68</v>
      </c>
      <c r="B33" s="448"/>
      <c r="C33" s="448"/>
      <c r="D33" s="448"/>
      <c r="E33" s="448"/>
      <c r="F33" s="448"/>
      <c r="G33" s="448"/>
      <c r="H33" s="449"/>
      <c r="I33" s="490" t="s">
        <v>25</v>
      </c>
      <c r="J33" s="448"/>
      <c r="K33" s="448"/>
      <c r="L33" s="448"/>
      <c r="M33" s="449"/>
      <c r="N33" s="7"/>
      <c r="O33" s="7"/>
      <c r="P33" s="9"/>
      <c r="Q33" s="9"/>
      <c r="R33" s="9"/>
      <c r="S33" s="9"/>
    </row>
    <row r="34" spans="1:19" ht="12.75" customHeight="1" x14ac:dyDescent="0.2">
      <c r="A34" s="33"/>
      <c r="B34" s="34"/>
      <c r="C34" s="25"/>
      <c r="D34" s="25"/>
      <c r="E34" s="25"/>
      <c r="F34" s="25"/>
      <c r="G34" s="34"/>
      <c r="H34" s="35"/>
      <c r="I34" s="36"/>
      <c r="J34" s="36"/>
      <c r="K34" s="36"/>
      <c r="L34" s="36"/>
      <c r="M34" s="37"/>
      <c r="N34" s="7"/>
      <c r="O34" s="7"/>
      <c r="P34" s="9"/>
      <c r="Q34" s="9"/>
      <c r="R34" s="9"/>
      <c r="S34" s="9"/>
    </row>
    <row r="35" spans="1:19" ht="12.75" customHeight="1" x14ac:dyDescent="0.25">
      <c r="A35" s="470" t="s">
        <v>180</v>
      </c>
      <c r="B35" s="448"/>
      <c r="C35" s="448"/>
      <c r="D35" s="448"/>
      <c r="E35" s="448"/>
      <c r="F35" s="448"/>
      <c r="G35" s="448"/>
      <c r="H35" s="449"/>
      <c r="I35" s="490" t="s">
        <v>59</v>
      </c>
      <c r="J35" s="448"/>
      <c r="K35" s="448"/>
      <c r="L35" s="448"/>
      <c r="M35" s="449"/>
      <c r="N35" s="7"/>
      <c r="O35" s="7"/>
      <c r="P35" s="9"/>
      <c r="Q35" s="9"/>
      <c r="R35" s="9"/>
      <c r="S35" s="9"/>
    </row>
    <row r="36" spans="1:19" ht="12.75" customHeight="1" x14ac:dyDescent="0.2">
      <c r="A36" s="33"/>
      <c r="B36" s="34"/>
      <c r="C36" s="34"/>
      <c r="D36" s="34"/>
      <c r="E36" s="34"/>
      <c r="F36" s="34"/>
      <c r="G36" s="34"/>
      <c r="H36" s="35"/>
      <c r="I36" s="36"/>
      <c r="J36" s="34"/>
      <c r="K36" s="34"/>
      <c r="L36" s="34"/>
      <c r="M36" s="35"/>
      <c r="N36" s="7"/>
      <c r="O36" s="7"/>
      <c r="P36" s="9"/>
      <c r="Q36" s="9"/>
      <c r="R36" s="9"/>
      <c r="S36" s="9"/>
    </row>
    <row r="37" spans="1:19" ht="12.75" customHeight="1" x14ac:dyDescent="0.25">
      <c r="A37" s="470" t="s">
        <v>60</v>
      </c>
      <c r="B37" s="448"/>
      <c r="C37" s="448"/>
      <c r="D37" s="448"/>
      <c r="E37" s="448"/>
      <c r="F37" s="448"/>
      <c r="G37" s="448"/>
      <c r="H37" s="449"/>
      <c r="I37" s="490" t="s">
        <v>60</v>
      </c>
      <c r="J37" s="448"/>
      <c r="K37" s="448"/>
      <c r="L37" s="448"/>
      <c r="M37" s="449"/>
      <c r="N37" s="7"/>
      <c r="O37" s="7"/>
      <c r="P37" s="9"/>
      <c r="Q37" s="9"/>
      <c r="R37" s="9"/>
      <c r="S37" s="9"/>
    </row>
    <row r="38" spans="1:19" ht="12.75" customHeight="1" thickBot="1" x14ac:dyDescent="0.25">
      <c r="A38" s="38"/>
      <c r="B38" s="39"/>
      <c r="C38" s="39"/>
      <c r="D38" s="39"/>
      <c r="E38" s="39"/>
      <c r="F38" s="39"/>
      <c r="G38" s="39"/>
      <c r="H38" s="40"/>
      <c r="I38" s="39"/>
      <c r="J38" s="39"/>
      <c r="K38" s="39"/>
      <c r="L38" s="39"/>
      <c r="M38" s="40"/>
      <c r="N38" s="7"/>
      <c r="O38" s="7"/>
      <c r="P38" s="9"/>
      <c r="Q38" s="9"/>
      <c r="R38" s="9"/>
      <c r="S38" s="9"/>
    </row>
    <row r="39" spans="1:19" ht="3.75" customHeight="1" thickBot="1" x14ac:dyDescent="0.25">
      <c r="A39" s="41"/>
      <c r="B39" s="42"/>
      <c r="C39" s="43"/>
      <c r="D39" s="43"/>
      <c r="E39" s="43"/>
      <c r="F39" s="43"/>
      <c r="G39" s="43"/>
      <c r="H39" s="43"/>
      <c r="I39" s="43"/>
      <c r="J39" s="43"/>
      <c r="K39" s="43"/>
      <c r="L39" s="43"/>
      <c r="M39" s="44"/>
      <c r="N39" s="7"/>
      <c r="O39" s="7"/>
      <c r="P39" s="9"/>
      <c r="Q39" s="9"/>
      <c r="R39" s="9"/>
      <c r="S39" s="9"/>
    </row>
    <row r="40" spans="1:19" ht="12.75" customHeight="1" thickBot="1" x14ac:dyDescent="0.3">
      <c r="A40" s="45" t="s">
        <v>26</v>
      </c>
      <c r="B40" s="465" t="s">
        <v>61</v>
      </c>
      <c r="C40" s="466"/>
      <c r="D40" s="466"/>
      <c r="E40" s="466"/>
      <c r="F40" s="466"/>
      <c r="G40" s="466"/>
      <c r="H40" s="466"/>
      <c r="I40" s="466"/>
      <c r="J40" s="466"/>
      <c r="K40" s="466"/>
      <c r="L40" s="466"/>
      <c r="M40" s="467"/>
      <c r="N40" s="7"/>
      <c r="O40" s="7"/>
      <c r="P40" s="9"/>
      <c r="Q40" s="9"/>
      <c r="R40" s="9"/>
      <c r="S40" s="9"/>
    </row>
    <row r="41" spans="1:19" ht="13.5" customHeight="1" thickBot="1" x14ac:dyDescent="0.3">
      <c r="A41" s="491" t="s">
        <v>27</v>
      </c>
      <c r="B41" s="466"/>
      <c r="C41" s="466"/>
      <c r="D41" s="466"/>
      <c r="E41" s="466"/>
      <c r="F41" s="466"/>
      <c r="G41" s="467"/>
      <c r="H41" s="491" t="s">
        <v>2</v>
      </c>
      <c r="I41" s="466"/>
      <c r="J41" s="466"/>
      <c r="K41" s="466"/>
      <c r="L41" s="466"/>
      <c r="M41" s="467"/>
      <c r="N41" s="7"/>
      <c r="O41" s="7"/>
      <c r="P41" s="9"/>
      <c r="Q41" s="9"/>
      <c r="R41" s="9"/>
      <c r="S41" s="9"/>
    </row>
    <row r="42" spans="1:19" ht="16.5" customHeight="1" x14ac:dyDescent="0.25">
      <c r="A42" s="479" t="s">
        <v>0</v>
      </c>
      <c r="B42" s="471" t="s">
        <v>1</v>
      </c>
      <c r="C42" s="448"/>
      <c r="D42" s="448"/>
      <c r="E42" s="485" t="s">
        <v>62</v>
      </c>
      <c r="F42" s="448"/>
      <c r="G42" s="449"/>
      <c r="H42" s="479" t="s">
        <v>63</v>
      </c>
      <c r="I42" s="487" t="s">
        <v>28</v>
      </c>
      <c r="J42" s="472"/>
      <c r="K42" s="488" t="s">
        <v>29</v>
      </c>
      <c r="L42" s="443" t="s">
        <v>30</v>
      </c>
      <c r="M42" s="444"/>
      <c r="N42" s="7"/>
      <c r="O42" s="7"/>
      <c r="P42" s="9"/>
      <c r="Q42" s="9"/>
      <c r="R42" s="9"/>
      <c r="S42" s="9"/>
    </row>
    <row r="43" spans="1:19" ht="32.25" customHeight="1" thickBot="1" x14ac:dyDescent="0.25">
      <c r="A43" s="480"/>
      <c r="B43" s="482"/>
      <c r="C43" s="448"/>
      <c r="D43" s="448"/>
      <c r="E43" s="482"/>
      <c r="F43" s="448"/>
      <c r="G43" s="449"/>
      <c r="H43" s="480"/>
      <c r="I43" s="482"/>
      <c r="J43" s="472"/>
      <c r="K43" s="489"/>
      <c r="L43" s="46" t="s">
        <v>31</v>
      </c>
      <c r="M43" s="47" t="s">
        <v>32</v>
      </c>
      <c r="N43" s="7"/>
      <c r="O43" s="7"/>
      <c r="P43" s="9"/>
      <c r="Q43" s="9"/>
      <c r="R43" s="9"/>
      <c r="S43" s="9"/>
    </row>
    <row r="44" spans="1:19" ht="12.75" customHeight="1" thickBot="1" x14ac:dyDescent="0.3">
      <c r="A44" s="481"/>
      <c r="B44" s="483"/>
      <c r="C44" s="484"/>
      <c r="D44" s="484"/>
      <c r="E44" s="483"/>
      <c r="F44" s="484"/>
      <c r="G44" s="486"/>
      <c r="H44" s="48" t="s">
        <v>33</v>
      </c>
      <c r="I44" s="445" t="s">
        <v>34</v>
      </c>
      <c r="J44" s="446"/>
      <c r="K44" s="49" t="s">
        <v>35</v>
      </c>
      <c r="L44" s="49" t="s">
        <v>36</v>
      </c>
      <c r="M44" s="50" t="s">
        <v>37</v>
      </c>
      <c r="N44" s="7"/>
      <c r="O44" s="7"/>
      <c r="P44" s="9"/>
      <c r="Q44" s="9"/>
      <c r="R44" s="9"/>
      <c r="S44" s="9"/>
    </row>
    <row r="45" spans="1:19" ht="13.5" customHeight="1" x14ac:dyDescent="0.2">
      <c r="A45" s="51"/>
      <c r="B45" s="52"/>
      <c r="C45" s="53"/>
      <c r="D45" s="54"/>
      <c r="E45" s="55"/>
      <c r="F45" s="53"/>
      <c r="G45" s="56"/>
      <c r="H45" s="57"/>
      <c r="I45" s="55"/>
      <c r="J45" s="54"/>
      <c r="K45" s="18"/>
      <c r="L45" s="58"/>
      <c r="M45" s="59"/>
      <c r="N45" s="7"/>
      <c r="O45" s="7"/>
      <c r="P45" s="9"/>
      <c r="Q45" s="9"/>
      <c r="R45" s="9"/>
      <c r="S45" s="9"/>
    </row>
    <row r="46" spans="1:19" ht="13.5" customHeight="1" x14ac:dyDescent="0.25">
      <c r="A46" s="51"/>
      <c r="B46" s="471" t="s">
        <v>63</v>
      </c>
      <c r="C46" s="448"/>
      <c r="D46" s="472"/>
      <c r="E46" s="60"/>
      <c r="F46" s="34"/>
      <c r="G46" s="35"/>
      <c r="H46" s="61">
        <f>L22</f>
        <v>8116</v>
      </c>
      <c r="I46" s="62"/>
      <c r="J46" s="63"/>
      <c r="K46" s="58"/>
      <c r="L46" s="58"/>
      <c r="M46" s="59"/>
      <c r="N46" s="7"/>
      <c r="O46" s="7"/>
      <c r="P46" s="9"/>
      <c r="Q46" s="9"/>
      <c r="R46" s="9"/>
      <c r="S46" s="9"/>
    </row>
    <row r="47" spans="1:19" ht="13.5" customHeight="1" x14ac:dyDescent="0.2">
      <c r="A47" s="51"/>
      <c r="B47" s="52"/>
      <c r="C47" s="53"/>
      <c r="D47" s="54"/>
      <c r="E47" s="55"/>
      <c r="F47" s="53"/>
      <c r="G47" s="56"/>
      <c r="H47" s="64"/>
      <c r="I47" s="62"/>
      <c r="J47" s="63"/>
      <c r="K47" s="58"/>
      <c r="L47" s="58"/>
      <c r="M47" s="59"/>
      <c r="N47" s="7"/>
      <c r="O47" s="7"/>
      <c r="P47" s="9"/>
      <c r="Q47" s="9"/>
      <c r="R47" s="9"/>
      <c r="S47" s="9"/>
    </row>
    <row r="48" spans="1:19" ht="13.5" customHeight="1" x14ac:dyDescent="0.2">
      <c r="A48" s="51"/>
      <c r="B48" s="52"/>
      <c r="C48" s="53"/>
      <c r="D48" s="54"/>
      <c r="E48" s="55"/>
      <c r="F48" s="53"/>
      <c r="G48" s="56"/>
      <c r="H48" s="64"/>
      <c r="I48" s="55"/>
      <c r="J48" s="54"/>
      <c r="K48" s="18"/>
      <c r="L48" s="18"/>
      <c r="M48" s="56"/>
      <c r="N48" s="7"/>
      <c r="O48" s="7"/>
      <c r="P48" s="9"/>
      <c r="Q48" s="9"/>
      <c r="R48" s="9"/>
      <c r="S48" s="9"/>
    </row>
    <row r="49" spans="1:19" ht="13.5" customHeight="1" thickBot="1" x14ac:dyDescent="0.25">
      <c r="A49" s="65"/>
      <c r="B49" s="66"/>
      <c r="C49" s="67"/>
      <c r="D49" s="68"/>
      <c r="E49" s="69"/>
      <c r="F49" s="67"/>
      <c r="G49" s="70"/>
      <c r="H49" s="71"/>
      <c r="I49" s="69"/>
      <c r="J49" s="68"/>
      <c r="K49" s="72"/>
      <c r="L49" s="72"/>
      <c r="M49" s="70"/>
      <c r="N49" s="7"/>
      <c r="O49" s="7"/>
      <c r="P49" s="9"/>
      <c r="Q49" s="9"/>
      <c r="R49" s="9"/>
      <c r="S49" s="9"/>
    </row>
    <row r="50" spans="1:19" ht="12.75" customHeight="1" x14ac:dyDescent="0.2">
      <c r="A50" s="24"/>
      <c r="B50" s="24"/>
      <c r="C50" s="24"/>
      <c r="D50" s="24"/>
      <c r="E50" s="24"/>
      <c r="F50" s="24"/>
      <c r="G50" s="24"/>
      <c r="H50" s="24"/>
      <c r="I50" s="24"/>
      <c r="J50" s="24"/>
      <c r="K50" s="24"/>
      <c r="L50" s="24"/>
      <c r="M50" s="24"/>
      <c r="N50" s="2"/>
      <c r="O50" s="7"/>
      <c r="P50" s="9"/>
      <c r="Q50" s="9"/>
      <c r="R50" s="9"/>
      <c r="S50" s="9"/>
    </row>
    <row r="51" spans="1:19" ht="12.75" customHeight="1" x14ac:dyDescent="0.2">
      <c r="A51" s="24"/>
      <c r="B51" s="24"/>
      <c r="C51" s="24"/>
      <c r="D51" s="24"/>
      <c r="E51" s="24"/>
      <c r="F51" s="24"/>
      <c r="G51" s="24"/>
      <c r="H51" s="24"/>
      <c r="I51" s="24"/>
      <c r="J51" s="24"/>
      <c r="K51" s="24"/>
      <c r="L51" s="24"/>
      <c r="M51" s="24"/>
      <c r="N51" s="2"/>
      <c r="O51" s="7"/>
      <c r="P51" s="9"/>
      <c r="Q51" s="9"/>
      <c r="R51" s="9"/>
      <c r="S51" s="9"/>
    </row>
    <row r="52" spans="1:19" ht="12.75" customHeight="1" x14ac:dyDescent="0.25">
      <c r="A52" s="24"/>
      <c r="B52" s="24"/>
      <c r="C52" s="24"/>
      <c r="D52" s="24"/>
      <c r="E52" s="24"/>
      <c r="F52" s="24"/>
      <c r="G52" s="24"/>
      <c r="H52" s="24"/>
      <c r="I52" s="24"/>
      <c r="J52" s="24"/>
      <c r="K52" s="24"/>
      <c r="L52" s="24"/>
      <c r="M52" s="24"/>
      <c r="N52" s="2"/>
      <c r="O52" s="2"/>
      <c r="P52" s="5"/>
      <c r="Q52" s="5"/>
      <c r="R52" s="5"/>
      <c r="S52" s="5"/>
    </row>
    <row r="53" spans="1:19" ht="12.75" customHeight="1" x14ac:dyDescent="0.25">
      <c r="A53" s="24"/>
      <c r="B53" s="24"/>
      <c r="C53" s="24"/>
      <c r="D53" s="24"/>
      <c r="E53" s="24"/>
      <c r="F53" s="24"/>
      <c r="G53" s="24"/>
      <c r="H53" s="24"/>
      <c r="I53" s="24"/>
      <c r="J53" s="24"/>
      <c r="K53" s="24"/>
      <c r="L53" s="24"/>
      <c r="M53" s="24"/>
      <c r="N53" s="2"/>
      <c r="O53" s="2"/>
      <c r="P53" s="5"/>
      <c r="Q53" s="5"/>
      <c r="R53" s="5"/>
      <c r="S53" s="5"/>
    </row>
  </sheetData>
  <mergeCells count="63">
    <mergeCell ref="L1:M1"/>
    <mergeCell ref="L2:M2"/>
    <mergeCell ref="A3:J3"/>
    <mergeCell ref="K3:M3"/>
    <mergeCell ref="A4:J4"/>
    <mergeCell ref="K4:M4"/>
    <mergeCell ref="A5:J5"/>
    <mergeCell ref="K5:M5"/>
    <mergeCell ref="A6:C7"/>
    <mergeCell ref="D6:M7"/>
    <mergeCell ref="A8:C9"/>
    <mergeCell ref="D8:M9"/>
    <mergeCell ref="A10:C11"/>
    <mergeCell ref="D10:M11"/>
    <mergeCell ref="A12:C13"/>
    <mergeCell ref="D12:H13"/>
    <mergeCell ref="I12:J13"/>
    <mergeCell ref="K12:K13"/>
    <mergeCell ref="L12:M13"/>
    <mergeCell ref="I31:M31"/>
    <mergeCell ref="A33:H33"/>
    <mergeCell ref="I33:M33"/>
    <mergeCell ref="A14:C14"/>
    <mergeCell ref="D14:H15"/>
    <mergeCell ref="L14:M14"/>
    <mergeCell ref="L15:M15"/>
    <mergeCell ref="I23:I24"/>
    <mergeCell ref="B24:C24"/>
    <mergeCell ref="D19:H19"/>
    <mergeCell ref="D17:H17"/>
    <mergeCell ref="D18:H18"/>
    <mergeCell ref="B46:D46"/>
    <mergeCell ref="A15:C15"/>
    <mergeCell ref="I14:J15"/>
    <mergeCell ref="K14:K15"/>
    <mergeCell ref="A42:A44"/>
    <mergeCell ref="B42:D44"/>
    <mergeCell ref="E42:G44"/>
    <mergeCell ref="H42:H43"/>
    <mergeCell ref="I42:J43"/>
    <mergeCell ref="K42:K43"/>
    <mergeCell ref="A35:H35"/>
    <mergeCell ref="I35:M35"/>
    <mergeCell ref="A37:H37"/>
    <mergeCell ref="I37:M37"/>
    <mergeCell ref="A41:G41"/>
    <mergeCell ref="H41:M41"/>
    <mergeCell ref="L42:M42"/>
    <mergeCell ref="I44:J44"/>
    <mergeCell ref="B25:H25"/>
    <mergeCell ref="A21:C21"/>
    <mergeCell ref="D21:H21"/>
    <mergeCell ref="I21:J21"/>
    <mergeCell ref="L21:M21"/>
    <mergeCell ref="A22:C22"/>
    <mergeCell ref="D22:H22"/>
    <mergeCell ref="I22:J22"/>
    <mergeCell ref="L22:M22"/>
    <mergeCell ref="A23:A24"/>
    <mergeCell ref="D23:H24"/>
    <mergeCell ref="B40:M40"/>
    <mergeCell ref="A26:A28"/>
    <mergeCell ref="A31:H31"/>
  </mergeCells>
  <pageMargins left="0.62" right="0.25" top="0.75" bottom="0.75" header="0.3" footer="0.3"/>
  <pageSetup paperSize="9" scale="78" orientation="portrait" horizontalDpi="300" verticalDpi="300" r:id="rId1"/>
  <colBreaks count="2" manualBreakCount="2">
    <brk id="13" max="1048575"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tabSelected="1" view="pageBreakPreview" zoomScale="50" zoomScaleNormal="130" zoomScaleSheetLayoutView="50" zoomScalePageLayoutView="55" workbookViewId="0">
      <selection activeCell="F8" sqref="F8"/>
    </sheetView>
  </sheetViews>
  <sheetFormatPr defaultColWidth="9.140625" defaultRowHeight="20.25" x14ac:dyDescent="0.3"/>
  <cols>
    <col min="1" max="1" width="29.7109375" style="175" customWidth="1"/>
    <col min="2" max="2" width="68.140625" style="171" customWidth="1"/>
    <col min="3" max="3" width="18.42578125" style="174" customWidth="1"/>
    <col min="4" max="4" width="20" style="174" customWidth="1"/>
    <col min="5" max="5" width="30.42578125" style="176" customWidth="1"/>
    <col min="6" max="7" width="21.85546875" style="176" customWidth="1"/>
    <col min="8" max="8" width="17.140625" style="176" customWidth="1"/>
    <col min="9" max="9" width="29.85546875" style="171" customWidth="1"/>
    <col min="10" max="10" width="12.85546875" style="171" bestFit="1" customWidth="1"/>
    <col min="11" max="11" width="19.85546875" style="171" customWidth="1"/>
    <col min="12" max="16384" width="9.140625" style="171"/>
  </cols>
  <sheetData>
    <row r="1" spans="1:10" ht="34.5" thickBot="1" x14ac:dyDescent="0.55000000000000004">
      <c r="A1" s="575" t="s">
        <v>170</v>
      </c>
      <c r="B1" s="575"/>
      <c r="C1" s="575"/>
      <c r="D1" s="576"/>
      <c r="E1" s="576"/>
      <c r="F1" s="576"/>
      <c r="G1" s="576"/>
      <c r="H1" s="576"/>
    </row>
    <row r="2" spans="1:10" ht="25.5" customHeight="1" x14ac:dyDescent="0.3">
      <c r="A2" s="230" t="s">
        <v>171</v>
      </c>
      <c r="B2" s="231" t="s">
        <v>195</v>
      </c>
      <c r="C2" s="229"/>
      <c r="D2" s="559" t="s">
        <v>213</v>
      </c>
      <c r="E2" s="560"/>
      <c r="F2" s="560"/>
      <c r="G2" s="560"/>
      <c r="H2" s="560"/>
      <c r="I2" s="561"/>
    </row>
    <row r="3" spans="1:10" ht="21" customHeight="1" thickBot="1" x14ac:dyDescent="0.35">
      <c r="A3" s="235" t="s">
        <v>172</v>
      </c>
      <c r="B3" s="236" t="s">
        <v>197</v>
      </c>
      <c r="C3" s="237"/>
      <c r="D3" s="562" t="s">
        <v>235</v>
      </c>
      <c r="E3" s="563"/>
      <c r="F3" s="563"/>
      <c r="G3" s="563"/>
      <c r="H3" s="563"/>
      <c r="I3" s="564"/>
    </row>
    <row r="4" spans="1:10" ht="17.100000000000001" customHeight="1" x14ac:dyDescent="0.3">
      <c r="A4" s="577" t="s">
        <v>84</v>
      </c>
      <c r="B4" s="578"/>
      <c r="C4" s="578"/>
      <c r="D4" s="565"/>
      <c r="E4" s="566"/>
      <c r="F4" s="566"/>
      <c r="G4" s="566"/>
      <c r="H4" s="566"/>
      <c r="I4" s="567"/>
    </row>
    <row r="5" spans="1:10" ht="63.75" customHeight="1" thickBot="1" x14ac:dyDescent="0.35">
      <c r="A5" s="568"/>
      <c r="B5" s="569"/>
      <c r="C5" s="569"/>
      <c r="D5" s="568"/>
      <c r="E5" s="569"/>
      <c r="F5" s="569"/>
      <c r="G5" s="569"/>
      <c r="H5" s="569"/>
      <c r="I5" s="570"/>
    </row>
    <row r="6" spans="1:10" ht="20.25" customHeight="1" thickBot="1" x14ac:dyDescent="0.4">
      <c r="A6" s="579" t="s">
        <v>212</v>
      </c>
      <c r="B6" s="232" t="s">
        <v>83</v>
      </c>
      <c r="C6" s="571" t="s">
        <v>82</v>
      </c>
      <c r="D6" s="572"/>
      <c r="E6" s="233" t="s">
        <v>81</v>
      </c>
      <c r="F6" s="557" t="s">
        <v>80</v>
      </c>
      <c r="G6" s="234" t="s">
        <v>79</v>
      </c>
      <c r="H6" s="581" t="s">
        <v>78</v>
      </c>
      <c r="I6" s="555" t="s">
        <v>77</v>
      </c>
    </row>
    <row r="7" spans="1:10" ht="76.5" customHeight="1" thickBot="1" x14ac:dyDescent="0.35">
      <c r="A7" s="580"/>
      <c r="B7" s="177" t="s">
        <v>76</v>
      </c>
      <c r="C7" s="226" t="s">
        <v>75</v>
      </c>
      <c r="D7" s="178" t="s">
        <v>74</v>
      </c>
      <c r="E7" s="179" t="s">
        <v>73</v>
      </c>
      <c r="F7" s="558"/>
      <c r="G7" s="180" t="s">
        <v>72</v>
      </c>
      <c r="H7" s="582"/>
      <c r="I7" s="556"/>
      <c r="J7" s="172"/>
    </row>
    <row r="8" spans="1:10" ht="76.5" customHeight="1" x14ac:dyDescent="0.3">
      <c r="A8" s="573" t="s">
        <v>229</v>
      </c>
      <c r="B8" s="239" t="s">
        <v>226</v>
      </c>
      <c r="C8" s="240" t="s">
        <v>241</v>
      </c>
      <c r="D8" s="240" t="s">
        <v>242</v>
      </c>
      <c r="E8" s="241" t="s">
        <v>216</v>
      </c>
      <c r="F8" s="242">
        <v>219</v>
      </c>
      <c r="G8" s="242">
        <v>2200</v>
      </c>
      <c r="H8" s="242">
        <v>0</v>
      </c>
      <c r="I8" s="243">
        <f>F8+G8+H8</f>
        <v>2419</v>
      </c>
      <c r="J8" s="172"/>
    </row>
    <row r="9" spans="1:10" ht="76.5" customHeight="1" thickBot="1" x14ac:dyDescent="0.35">
      <c r="A9" s="574"/>
      <c r="B9" s="244" t="s">
        <v>227</v>
      </c>
      <c r="C9" s="245"/>
      <c r="D9" s="245" t="s">
        <v>218</v>
      </c>
      <c r="E9" s="246" t="s">
        <v>234</v>
      </c>
      <c r="F9" s="247"/>
      <c r="G9" s="247">
        <v>0</v>
      </c>
      <c r="H9" s="247">
        <v>0</v>
      </c>
      <c r="I9" s="248">
        <f>F9+G9+H9</f>
        <v>0</v>
      </c>
      <c r="J9" s="172"/>
    </row>
    <row r="10" spans="1:10" ht="76.5" customHeight="1" thickBot="1" x14ac:dyDescent="0.35">
      <c r="A10" s="259" t="s">
        <v>230</v>
      </c>
      <c r="B10" s="255" t="s">
        <v>228</v>
      </c>
      <c r="C10" s="256" t="s">
        <v>236</v>
      </c>
      <c r="D10" s="256" t="s">
        <v>237</v>
      </c>
      <c r="E10" s="246" t="s">
        <v>234</v>
      </c>
      <c r="F10" s="257">
        <v>0</v>
      </c>
      <c r="G10" s="257">
        <v>4400</v>
      </c>
      <c r="H10" s="257">
        <v>0</v>
      </c>
      <c r="I10" s="258">
        <f t="shared" ref="I10" si="0">F10+G10+H10</f>
        <v>4400</v>
      </c>
      <c r="J10" s="172"/>
    </row>
    <row r="11" spans="1:10" ht="76.5" customHeight="1" thickBot="1" x14ac:dyDescent="0.35">
      <c r="A11" s="583" t="s">
        <v>231</v>
      </c>
      <c r="B11" s="254" t="s">
        <v>233</v>
      </c>
      <c r="C11" s="249" t="s">
        <v>219</v>
      </c>
      <c r="D11" s="249" t="s">
        <v>238</v>
      </c>
      <c r="E11" s="246" t="s">
        <v>234</v>
      </c>
      <c r="F11" s="250">
        <v>0</v>
      </c>
      <c r="G11" s="250">
        <v>1100</v>
      </c>
      <c r="H11" s="250">
        <v>0</v>
      </c>
      <c r="I11" s="251">
        <f t="shared" ref="I11" si="1">F11+G11+H11</f>
        <v>1100</v>
      </c>
      <c r="J11" s="172"/>
    </row>
    <row r="12" spans="1:10" ht="60" customHeight="1" thickBot="1" x14ac:dyDescent="0.35">
      <c r="A12" s="584"/>
      <c r="B12" s="252" t="s">
        <v>232</v>
      </c>
      <c r="C12" s="240" t="s">
        <v>239</v>
      </c>
      <c r="D12" s="240" t="s">
        <v>240</v>
      </c>
      <c r="E12" s="253" t="s">
        <v>216</v>
      </c>
      <c r="F12" s="242">
        <v>197</v>
      </c>
      <c r="G12" s="242"/>
      <c r="H12" s="242">
        <v>0</v>
      </c>
      <c r="I12" s="243">
        <f>F12+G12+H12</f>
        <v>197</v>
      </c>
      <c r="J12" s="172"/>
    </row>
    <row r="13" spans="1:10" ht="24" thickBot="1" x14ac:dyDescent="0.35">
      <c r="A13" s="534" t="s">
        <v>64</v>
      </c>
      <c r="B13" s="535"/>
      <c r="C13" s="535"/>
      <c r="D13" s="535"/>
      <c r="E13" s="535"/>
      <c r="F13" s="203">
        <f>SUM(F8:F12)</f>
        <v>416</v>
      </c>
      <c r="G13" s="204">
        <f>SUM(G8:G12)</f>
        <v>7700</v>
      </c>
      <c r="H13" s="205">
        <f>SUM(H8:H12)</f>
        <v>0</v>
      </c>
      <c r="I13" s="204">
        <f>SUM(I8:I12)</f>
        <v>8116</v>
      </c>
      <c r="J13" s="172"/>
    </row>
    <row r="14" spans="1:10" s="174" customFormat="1" ht="50.25" customHeight="1" x14ac:dyDescent="0.2">
      <c r="A14" s="181"/>
      <c r="B14" s="199"/>
      <c r="C14" s="182"/>
      <c r="D14" s="536" t="s">
        <v>71</v>
      </c>
      <c r="E14" s="537"/>
      <c r="F14" s="183"/>
      <c r="G14" s="184"/>
      <c r="H14" s="183"/>
      <c r="I14" s="185"/>
    </row>
    <row r="15" spans="1:10" s="174" customFormat="1" ht="33" customHeight="1" x14ac:dyDescent="0.2">
      <c r="A15" s="181"/>
      <c r="B15" s="199"/>
      <c r="C15" s="182"/>
      <c r="D15" s="186"/>
      <c r="E15" s="187"/>
      <c r="F15" s="183"/>
      <c r="G15" s="184"/>
      <c r="H15" s="183"/>
      <c r="I15" s="185"/>
    </row>
    <row r="16" spans="1:10" s="174" customFormat="1" ht="33" customHeight="1" x14ac:dyDescent="0.2">
      <c r="A16" s="181"/>
      <c r="B16" s="199"/>
      <c r="C16" s="182"/>
      <c r="D16" s="186"/>
      <c r="E16" s="170"/>
      <c r="F16" s="183"/>
      <c r="G16" s="184"/>
      <c r="H16" s="183"/>
      <c r="I16" s="185"/>
    </row>
    <row r="17" spans="1:15" ht="23.25" x14ac:dyDescent="0.3">
      <c r="A17" s="538" t="s">
        <v>70</v>
      </c>
      <c r="B17" s="539"/>
      <c r="C17" s="540"/>
      <c r="D17" s="541" t="s">
        <v>195</v>
      </c>
      <c r="E17" s="542"/>
      <c r="F17" s="542"/>
      <c r="G17" s="542"/>
      <c r="H17" s="542"/>
      <c r="I17" s="543"/>
    </row>
    <row r="18" spans="1:15" ht="24" thickBot="1" x14ac:dyDescent="0.35">
      <c r="A18" s="538"/>
      <c r="B18" s="539"/>
      <c r="C18" s="540"/>
      <c r="D18" s="544" t="s">
        <v>197</v>
      </c>
      <c r="E18" s="545"/>
      <c r="F18" s="545"/>
      <c r="G18" s="545"/>
      <c r="H18" s="545"/>
      <c r="I18" s="546"/>
    </row>
    <row r="19" spans="1:15" ht="57.75" customHeight="1" x14ac:dyDescent="0.35">
      <c r="A19" s="538"/>
      <c r="B19" s="539"/>
      <c r="C19" s="540"/>
      <c r="D19" s="547" t="s">
        <v>69</v>
      </c>
      <c r="E19" s="548"/>
      <c r="F19" s="190"/>
      <c r="G19" s="191"/>
      <c r="H19" s="190"/>
      <c r="I19" s="192"/>
      <c r="O19" s="171" t="s">
        <v>193</v>
      </c>
    </row>
    <row r="20" spans="1:15" ht="23.25" x14ac:dyDescent="0.35">
      <c r="A20" s="538"/>
      <c r="B20" s="539"/>
      <c r="C20" s="540"/>
      <c r="D20" s="549"/>
      <c r="E20" s="550"/>
      <c r="F20" s="550"/>
      <c r="G20" s="550"/>
      <c r="H20" s="550"/>
      <c r="I20" s="551"/>
      <c r="K20" s="173"/>
    </row>
    <row r="21" spans="1:15" ht="23.25" x14ac:dyDescent="0.35">
      <c r="A21" s="188"/>
      <c r="B21" s="200"/>
      <c r="C21" s="194"/>
      <c r="D21" s="189"/>
      <c r="E21" s="201"/>
      <c r="F21" s="201"/>
      <c r="G21" s="201"/>
      <c r="H21" s="201"/>
      <c r="I21" s="193"/>
    </row>
    <row r="22" spans="1:15" ht="23.25" x14ac:dyDescent="0.35">
      <c r="A22" s="195"/>
      <c r="B22" s="202"/>
      <c r="C22" s="182"/>
      <c r="D22" s="189"/>
      <c r="E22" s="201"/>
      <c r="F22" s="196"/>
      <c r="G22" s="197"/>
      <c r="H22" s="196"/>
      <c r="I22" s="198"/>
    </row>
    <row r="23" spans="1:15" ht="23.25" x14ac:dyDescent="0.35">
      <c r="A23" s="552" t="s">
        <v>222</v>
      </c>
      <c r="B23" s="553"/>
      <c r="C23" s="554"/>
      <c r="D23" s="552" t="s">
        <v>67</v>
      </c>
      <c r="E23" s="553"/>
      <c r="F23" s="553"/>
      <c r="G23" s="553"/>
      <c r="H23" s="553"/>
      <c r="I23" s="554"/>
    </row>
    <row r="24" spans="1:15" ht="24" thickBot="1" x14ac:dyDescent="0.4">
      <c r="A24" s="531" t="s">
        <v>173</v>
      </c>
      <c r="B24" s="532"/>
      <c r="C24" s="533"/>
      <c r="D24" s="531" t="s">
        <v>165</v>
      </c>
      <c r="E24" s="532"/>
      <c r="F24" s="532"/>
      <c r="G24" s="532"/>
      <c r="H24" s="532"/>
      <c r="I24" s="533"/>
    </row>
  </sheetData>
  <mergeCells count="22">
    <mergeCell ref="A11:A12"/>
    <mergeCell ref="A8:A9"/>
    <mergeCell ref="A1:H1"/>
    <mergeCell ref="A4:C5"/>
    <mergeCell ref="A6:A7"/>
    <mergeCell ref="H6:H7"/>
    <mergeCell ref="I6:I7"/>
    <mergeCell ref="F6:F7"/>
    <mergeCell ref="D2:I2"/>
    <mergeCell ref="D3:I5"/>
    <mergeCell ref="C6:D6"/>
    <mergeCell ref="A24:C24"/>
    <mergeCell ref="D24:I24"/>
    <mergeCell ref="A13:E13"/>
    <mergeCell ref="D14:E14"/>
    <mergeCell ref="A17:C20"/>
    <mergeCell ref="D17:I17"/>
    <mergeCell ref="D18:I18"/>
    <mergeCell ref="D19:E19"/>
    <mergeCell ref="D20:I20"/>
    <mergeCell ref="A23:C23"/>
    <mergeCell ref="D23:I23"/>
  </mergeCells>
  <printOptions horizontalCentered="1"/>
  <pageMargins left="0.43" right="0.28999999999999998" top="0.97" bottom="0.74803149606299213" header="0.31496062992125984" footer="0.31496062992125984"/>
  <pageSetup paperSize="9" scale="38" orientation="portrait" r:id="rId1"/>
  <headerFooter>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6"/>
  <sheetViews>
    <sheetView view="pageBreakPreview" zoomScale="110" zoomScaleNormal="120" zoomScaleSheetLayoutView="110" workbookViewId="0">
      <selection activeCell="D8" sqref="D8"/>
    </sheetView>
  </sheetViews>
  <sheetFormatPr defaultColWidth="9.140625" defaultRowHeight="14.25" x14ac:dyDescent="0.2"/>
  <cols>
    <col min="1" max="1" width="17.42578125" style="218" customWidth="1"/>
    <col min="2" max="2" width="34.28515625" style="218" customWidth="1"/>
    <col min="3" max="3" width="24.85546875" style="218" customWidth="1"/>
    <col min="4" max="4" width="22" style="218" customWidth="1"/>
    <col min="5" max="16384" width="9.140625" style="218"/>
  </cols>
  <sheetData>
    <row r="1" spans="1:5" ht="15" thickBot="1" x14ac:dyDescent="0.25">
      <c r="A1" s="602" t="s">
        <v>183</v>
      </c>
      <c r="B1" s="603"/>
      <c r="C1" s="603"/>
      <c r="D1" s="603"/>
      <c r="E1" s="217"/>
    </row>
    <row r="2" spans="1:5" ht="31.5" customHeight="1" x14ac:dyDescent="0.2">
      <c r="A2" s="206" t="s">
        <v>184</v>
      </c>
      <c r="B2" s="207" t="str">
        <f>'Itinerary (3 copies)'!B2</f>
        <v>WARREN A. DEL ROSARIO</v>
      </c>
      <c r="C2" s="208" t="s">
        <v>185</v>
      </c>
      <c r="D2" s="209" t="s">
        <v>210</v>
      </c>
      <c r="E2" s="217"/>
    </row>
    <row r="3" spans="1:5" x14ac:dyDescent="0.2">
      <c r="A3" s="210" t="s">
        <v>5</v>
      </c>
      <c r="B3" s="587" t="s">
        <v>186</v>
      </c>
      <c r="C3" s="604"/>
      <c r="D3" s="588"/>
      <c r="E3" s="217"/>
    </row>
    <row r="4" spans="1:5" x14ac:dyDescent="0.2">
      <c r="A4" s="223" t="s">
        <v>187</v>
      </c>
      <c r="B4" s="605" t="s">
        <v>188</v>
      </c>
      <c r="C4" s="593"/>
      <c r="D4" s="594"/>
      <c r="E4" s="217"/>
    </row>
    <row r="5" spans="1:5" x14ac:dyDescent="0.2">
      <c r="A5" s="224" t="s">
        <v>0</v>
      </c>
      <c r="B5" s="606" t="s">
        <v>1</v>
      </c>
      <c r="C5" s="607"/>
      <c r="D5" s="224" t="s">
        <v>2</v>
      </c>
      <c r="E5" s="217"/>
    </row>
    <row r="6" spans="1:5" ht="31.5" customHeight="1" x14ac:dyDescent="0.2">
      <c r="A6" s="585" t="s">
        <v>217</v>
      </c>
      <c r="B6" s="609" t="s">
        <v>220</v>
      </c>
      <c r="C6" s="609"/>
      <c r="D6" s="238" t="e">
        <f>'Itinerary (3 copies)'!#REF!</f>
        <v>#REF!</v>
      </c>
      <c r="E6" s="217"/>
    </row>
    <row r="7" spans="1:5" ht="30" customHeight="1" x14ac:dyDescent="0.2">
      <c r="A7" s="586"/>
      <c r="B7" s="609" t="s">
        <v>221</v>
      </c>
      <c r="C7" s="609"/>
      <c r="D7" s="238" t="e">
        <f>'Itinerary (3 copies)'!#REF!</f>
        <v>#REF!</v>
      </c>
      <c r="E7" s="217"/>
    </row>
    <row r="8" spans="1:5" ht="19.5" customHeight="1" x14ac:dyDescent="0.2">
      <c r="A8" s="227" t="e">
        <f>'Itinerary (3 copies)'!#REF!</f>
        <v>#REF!</v>
      </c>
      <c r="B8" s="609" t="e">
        <f>'Itinerary (3 copies)'!#REF!</f>
        <v>#REF!</v>
      </c>
      <c r="C8" s="609"/>
      <c r="D8" s="238" t="e">
        <f>'Itinerary (3 copies)'!#REF!</f>
        <v>#REF!</v>
      </c>
      <c r="E8" s="217"/>
    </row>
    <row r="9" spans="1:5" ht="28.5" customHeight="1" x14ac:dyDescent="0.2">
      <c r="A9" s="227"/>
      <c r="B9" s="609"/>
      <c r="C9" s="609"/>
      <c r="D9" s="225"/>
      <c r="E9" s="217"/>
    </row>
    <row r="10" spans="1:5" ht="19.5" customHeight="1" x14ac:dyDescent="0.2">
      <c r="A10" s="227"/>
      <c r="B10" s="609"/>
      <c r="C10" s="609"/>
      <c r="D10" s="225"/>
      <c r="E10" s="217"/>
    </row>
    <row r="11" spans="1:5" ht="25.5" customHeight="1" x14ac:dyDescent="0.2">
      <c r="A11" s="610"/>
      <c r="B11" s="609"/>
      <c r="C11" s="609"/>
      <c r="D11" s="225"/>
      <c r="E11" s="217"/>
    </row>
    <row r="12" spans="1:5" ht="21" customHeight="1" x14ac:dyDescent="0.2">
      <c r="A12" s="610"/>
      <c r="B12" s="609"/>
      <c r="C12" s="609"/>
      <c r="D12" s="225"/>
      <c r="E12" s="217"/>
    </row>
    <row r="13" spans="1:5" ht="30.75" customHeight="1" x14ac:dyDescent="0.2">
      <c r="A13" s="610"/>
      <c r="B13" s="609"/>
      <c r="C13" s="609"/>
      <c r="D13" s="225"/>
      <c r="E13" s="217"/>
    </row>
    <row r="14" spans="1:5" ht="33" customHeight="1" x14ac:dyDescent="0.2">
      <c r="A14" s="610"/>
      <c r="B14" s="609"/>
      <c r="C14" s="609"/>
      <c r="D14" s="225"/>
      <c r="E14" s="217"/>
    </row>
    <row r="15" spans="1:5" x14ac:dyDescent="0.2">
      <c r="A15" s="212"/>
      <c r="B15" s="608" t="s">
        <v>189</v>
      </c>
      <c r="C15" s="601"/>
      <c r="D15" s="228" t="e">
        <f>SUM(D6:D14)</f>
        <v>#REF!</v>
      </c>
      <c r="E15" s="217"/>
    </row>
    <row r="16" spans="1:5" ht="27.6" customHeight="1" x14ac:dyDescent="0.2">
      <c r="A16" s="592" t="s">
        <v>211</v>
      </c>
      <c r="B16" s="593"/>
      <c r="C16" s="593"/>
      <c r="D16" s="594"/>
      <c r="E16" s="217"/>
    </row>
    <row r="17" spans="1:5" ht="27.6" customHeight="1" x14ac:dyDescent="0.2">
      <c r="A17" s="595"/>
      <c r="B17" s="596"/>
      <c r="C17" s="596"/>
      <c r="D17" s="597"/>
      <c r="E17" s="217"/>
    </row>
    <row r="18" spans="1:5" ht="15" customHeight="1" x14ac:dyDescent="0.2">
      <c r="A18" s="598" t="s">
        <v>190</v>
      </c>
      <c r="B18" s="593"/>
      <c r="C18" s="593"/>
      <c r="D18" s="594"/>
      <c r="E18" s="219"/>
    </row>
    <row r="19" spans="1:5" ht="14.25" customHeight="1" x14ac:dyDescent="0.2">
      <c r="A19" s="595"/>
      <c r="B19" s="596"/>
      <c r="C19" s="596"/>
      <c r="D19" s="597"/>
      <c r="E19" s="217"/>
    </row>
    <row r="20" spans="1:5" x14ac:dyDescent="0.2">
      <c r="A20" s="599"/>
      <c r="B20" s="600"/>
      <c r="C20" s="600"/>
      <c r="D20" s="601"/>
      <c r="E20" s="217"/>
    </row>
    <row r="21" spans="1:5" x14ac:dyDescent="0.2">
      <c r="A21" s="213"/>
      <c r="B21" s="214" t="s">
        <v>191</v>
      </c>
      <c r="C21" s="591" t="s">
        <v>192</v>
      </c>
      <c r="D21" s="588"/>
      <c r="E21" s="217"/>
    </row>
    <row r="22" spans="1:5" ht="24" customHeight="1" x14ac:dyDescent="0.2">
      <c r="A22" s="215" t="s">
        <v>3</v>
      </c>
      <c r="B22" s="215"/>
      <c r="C22" s="589"/>
      <c r="D22" s="588"/>
      <c r="E22" s="217"/>
    </row>
    <row r="23" spans="1:5" x14ac:dyDescent="0.2">
      <c r="A23" s="213" t="s">
        <v>4</v>
      </c>
      <c r="B23" s="211" t="str">
        <f>'Itinerary (3 copies)'!D17</f>
        <v>WARREN A. DEL ROSARIO</v>
      </c>
      <c r="C23" s="590" t="s">
        <v>67</v>
      </c>
      <c r="D23" s="588"/>
      <c r="E23" s="217"/>
    </row>
    <row r="24" spans="1:5" ht="12.75" customHeight="1" x14ac:dyDescent="0.2">
      <c r="A24" s="213"/>
      <c r="B24" s="216" t="str">
        <f>'Itinerary (3 copies)'!D18</f>
        <v>Agriculturist II</v>
      </c>
      <c r="C24" s="591" t="s">
        <v>165</v>
      </c>
      <c r="D24" s="588"/>
      <c r="E24" s="217"/>
    </row>
    <row r="25" spans="1:5" ht="15" customHeight="1" x14ac:dyDescent="0.2">
      <c r="A25" s="213"/>
      <c r="B25" s="210" t="s">
        <v>7</v>
      </c>
      <c r="C25" s="587" t="s">
        <v>110</v>
      </c>
      <c r="D25" s="588"/>
      <c r="E25" s="217"/>
    </row>
    <row r="26" spans="1:5" x14ac:dyDescent="0.2">
      <c r="A26" s="217"/>
      <c r="B26" s="217"/>
      <c r="C26" s="217"/>
      <c r="D26" s="217"/>
      <c r="E26" s="217"/>
    </row>
  </sheetData>
  <mergeCells count="24">
    <mergeCell ref="A1:D1"/>
    <mergeCell ref="B3:D3"/>
    <mergeCell ref="B4:D4"/>
    <mergeCell ref="B5:C5"/>
    <mergeCell ref="B15:C15"/>
    <mergeCell ref="B6:C6"/>
    <mergeCell ref="B11:C11"/>
    <mergeCell ref="A11:A12"/>
    <mergeCell ref="B7:C7"/>
    <mergeCell ref="B8:C8"/>
    <mergeCell ref="B9:C9"/>
    <mergeCell ref="A13:A14"/>
    <mergeCell ref="B10:C10"/>
    <mergeCell ref="B12:C12"/>
    <mergeCell ref="B13:C13"/>
    <mergeCell ref="B14:C14"/>
    <mergeCell ref="A6:A7"/>
    <mergeCell ref="C25:D25"/>
    <mergeCell ref="C22:D22"/>
    <mergeCell ref="C23:D23"/>
    <mergeCell ref="C24:D24"/>
    <mergeCell ref="A16:D17"/>
    <mergeCell ref="A18:D20"/>
    <mergeCell ref="C21:D21"/>
  </mergeCells>
  <printOptions horizontalCentered="1" verticalCentered="1" gridLines="1"/>
  <pageMargins left="0.67" right="0.56000000000000005" top="1.57" bottom="3.9370078740157481" header="0.45" footer="0.15748031496062992"/>
  <pageSetup paperSize="9" scale="88" orientation="portrait" r:id="rId1"/>
  <headerFooter>
    <oddHeader>&amp;C&amp;G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9"/>
  <sheetViews>
    <sheetView workbookViewId="0">
      <selection activeCell="D4" sqref="D4"/>
    </sheetView>
  </sheetViews>
  <sheetFormatPr defaultRowHeight="12.75" x14ac:dyDescent="0.2"/>
  <cols>
    <col min="1" max="1" width="2.28515625" customWidth="1"/>
    <col min="2" max="2" width="28" customWidth="1"/>
    <col min="3" max="3" width="17.28515625" customWidth="1"/>
    <col min="4" max="4" width="25.42578125" customWidth="1"/>
    <col min="5" max="5" width="17.28515625" customWidth="1"/>
    <col min="6" max="6" width="25.28515625" customWidth="1"/>
  </cols>
  <sheetData>
    <row r="1" spans="2:6" ht="10.5" customHeight="1" x14ac:dyDescent="0.2"/>
    <row r="2" spans="2:6" ht="25.5" x14ac:dyDescent="0.2">
      <c r="B2" s="221" t="s">
        <v>199</v>
      </c>
      <c r="C2" s="221" t="s">
        <v>15</v>
      </c>
      <c r="D2" s="221" t="s">
        <v>200</v>
      </c>
      <c r="E2" s="221" t="s">
        <v>105</v>
      </c>
      <c r="F2" s="221" t="s">
        <v>201</v>
      </c>
    </row>
    <row r="3" spans="2:6" ht="25.5" customHeight="1" x14ac:dyDescent="0.2">
      <c r="B3" s="222" t="s">
        <v>198</v>
      </c>
      <c r="C3" s="222" t="s">
        <v>48</v>
      </c>
      <c r="D3" s="222" t="s">
        <v>215</v>
      </c>
      <c r="E3" s="222" t="s">
        <v>209</v>
      </c>
      <c r="F3" s="222" t="s">
        <v>202</v>
      </c>
    </row>
    <row r="4" spans="2:6" ht="25.5" customHeight="1" x14ac:dyDescent="0.2">
      <c r="B4" s="222" t="s">
        <v>203</v>
      </c>
      <c r="C4" s="222" t="s">
        <v>214</v>
      </c>
      <c r="D4" s="222" t="s">
        <v>215</v>
      </c>
      <c r="E4" s="222" t="s">
        <v>209</v>
      </c>
      <c r="F4" s="222" t="s">
        <v>202</v>
      </c>
    </row>
    <row r="5" spans="2:6" ht="25.5" customHeight="1" x14ac:dyDescent="0.2">
      <c r="B5" s="222" t="s">
        <v>204</v>
      </c>
      <c r="C5" s="222" t="s">
        <v>48</v>
      </c>
      <c r="D5" s="222" t="s">
        <v>205</v>
      </c>
      <c r="E5" s="222" t="s">
        <v>209</v>
      </c>
      <c r="F5" s="222" t="s">
        <v>202</v>
      </c>
    </row>
    <row r="6" spans="2:6" ht="25.5" customHeight="1" x14ac:dyDescent="0.2">
      <c r="B6" s="222" t="s">
        <v>206</v>
      </c>
      <c r="C6" s="222" t="s">
        <v>207</v>
      </c>
      <c r="D6" s="222" t="s">
        <v>208</v>
      </c>
      <c r="E6" s="222" t="s">
        <v>209</v>
      </c>
      <c r="F6" s="222" t="s">
        <v>202</v>
      </c>
    </row>
    <row r="7" spans="2:6" x14ac:dyDescent="0.2">
      <c r="B7" s="220"/>
      <c r="C7" s="220"/>
      <c r="D7" s="220"/>
      <c r="E7" s="220"/>
      <c r="F7" s="220"/>
    </row>
    <row r="8" spans="2:6" x14ac:dyDescent="0.2">
      <c r="B8" s="220"/>
      <c r="C8" s="220"/>
      <c r="D8" s="220"/>
      <c r="E8" s="220"/>
      <c r="F8" s="220"/>
    </row>
    <row r="9" spans="2:6" x14ac:dyDescent="0.2">
      <c r="B9" s="220"/>
      <c r="C9" s="220"/>
      <c r="D9" s="220"/>
      <c r="E9" s="220"/>
      <c r="F9" s="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DV (3 copies)</vt:lpstr>
      <vt:lpstr>likod ng DV</vt:lpstr>
      <vt:lpstr>ORS (4copies)</vt:lpstr>
      <vt:lpstr>Itinerary (3 copies)</vt:lpstr>
      <vt:lpstr>Certificate not Require Receipt</vt:lpstr>
      <vt:lpstr>Fund Source</vt:lpstr>
      <vt:lpstr>'Certificate not Require Receipt'!Print_Area</vt:lpstr>
      <vt:lpstr>'DV (3 copies)'!Print_Area</vt:lpstr>
      <vt:lpstr>'Itinerary (3 copies)'!Print_Area</vt:lpstr>
      <vt:lpstr>'ORS (4copies)'!Print_Area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Myk Nota</dc:creator>
  <cp:lastModifiedBy>Warren A. Del Rosario</cp:lastModifiedBy>
  <cp:lastPrinted>2026-08-03T05:41:57Z</cp:lastPrinted>
  <dcterms:created xsi:type="dcterms:W3CDTF">1999-05-17T08:49:47Z</dcterms:created>
  <dcterms:modified xsi:type="dcterms:W3CDTF">2026-08-24T10:45:42Z</dcterms:modified>
</cp:coreProperties>
</file>